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den Ratio\Downloads\"/>
    </mc:Choice>
  </mc:AlternateContent>
  <xr:revisionPtr revIDLastSave="0" documentId="13_ncr:1_{89961544-C63B-4028-BC7E-E61E91CBC8DA}" xr6:coauthVersionLast="47" xr6:coauthVersionMax="47" xr10:uidLastSave="{00000000-0000-0000-0000-000000000000}"/>
  <bookViews>
    <workbookView xWindow="-110" yWindow="-110" windowWidth="19420" windowHeight="10300" activeTab="1" xr2:uid="{1D11D42C-51C9-440E-A5DE-EFE308D7558C}"/>
  </bookViews>
  <sheets>
    <sheet name="Question" sheetId="2" r:id="rId1"/>
    <sheet name="Solu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" i="3" l="1"/>
  <c r="F21" i="3"/>
  <c r="B38" i="3"/>
  <c r="B39" i="3" s="1"/>
  <c r="H28" i="3"/>
  <c r="H29" i="3"/>
  <c r="H30" i="3"/>
  <c r="H31" i="3"/>
  <c r="H32" i="3"/>
  <c r="G31" i="3"/>
  <c r="G32" i="3"/>
  <c r="G21" i="3"/>
  <c r="F22" i="3"/>
  <c r="F23" i="3"/>
  <c r="D22" i="3"/>
  <c r="H22" i="3" s="1"/>
  <c r="D23" i="3"/>
  <c r="H23" i="3" s="1"/>
  <c r="D24" i="3"/>
  <c r="H24" i="3" s="1"/>
  <c r="D25" i="3"/>
  <c r="H25" i="3" s="1"/>
  <c r="D26" i="3"/>
  <c r="H26" i="3" s="1"/>
  <c r="D27" i="3"/>
  <c r="H27" i="3" s="1"/>
  <c r="D28" i="3"/>
  <c r="D29" i="3"/>
  <c r="D30" i="3"/>
  <c r="D31" i="3"/>
  <c r="D32" i="3"/>
  <c r="D21" i="3"/>
  <c r="H21" i="3" s="1"/>
  <c r="C21" i="3"/>
  <c r="C22" i="3"/>
  <c r="G22" i="3" s="1"/>
  <c r="C23" i="3"/>
  <c r="G23" i="3" s="1"/>
  <c r="C24" i="3"/>
  <c r="G24" i="3" s="1"/>
  <c r="C25" i="3"/>
  <c r="G25" i="3" s="1"/>
  <c r="C26" i="3"/>
  <c r="G26" i="3" s="1"/>
  <c r="C27" i="3"/>
  <c r="G27" i="3" s="1"/>
  <c r="C28" i="3"/>
  <c r="G28" i="3" s="1"/>
  <c r="C29" i="3"/>
  <c r="G29" i="3" s="1"/>
  <c r="C30" i="3"/>
  <c r="G30" i="3" s="1"/>
  <c r="C31" i="3"/>
  <c r="C32" i="3"/>
  <c r="B22" i="3"/>
  <c r="B23" i="3"/>
  <c r="B24" i="3"/>
  <c r="F24" i="3" s="1"/>
  <c r="B25" i="3"/>
  <c r="F25" i="3" s="1"/>
  <c r="B26" i="3"/>
  <c r="F26" i="3" s="1"/>
  <c r="B27" i="3"/>
  <c r="F27" i="3" s="1"/>
  <c r="B28" i="3"/>
  <c r="F28" i="3" s="1"/>
  <c r="B29" i="3"/>
  <c r="F29" i="3" s="1"/>
  <c r="B30" i="3"/>
  <c r="F30" i="3" s="1"/>
  <c r="B31" i="3"/>
  <c r="F31" i="3" s="1"/>
  <c r="B32" i="3"/>
  <c r="F32" i="3" s="1"/>
  <c r="B21" i="3"/>
  <c r="E39" i="3"/>
  <c r="C53" i="3"/>
  <c r="E43" i="3"/>
  <c r="C52" i="3"/>
  <c r="C50" i="3"/>
  <c r="E44" i="3"/>
  <c r="E38" i="3"/>
  <c r="C54" i="3"/>
  <c r="C51" i="3"/>
  <c r="E42" i="3"/>
  <c r="B51" i="3" l="1"/>
  <c r="B42" i="3"/>
  <c r="B43" i="3"/>
  <c r="H33" i="3"/>
  <c r="F33" i="3"/>
  <c r="G33" i="3"/>
  <c r="B52" i="3" l="1"/>
  <c r="B53" i="3"/>
  <c r="B44" i="3"/>
  <c r="B54" i="3" l="1"/>
  <c r="B56" i="3" s="1"/>
  <c r="F78" i="3"/>
  <c r="I38" i="3"/>
</calcChain>
</file>

<file path=xl/sharedStrings.xml><?xml version="1.0" encoding="utf-8"?>
<sst xmlns="http://schemas.openxmlformats.org/spreadsheetml/2006/main" count="51" uniqueCount="38">
  <si>
    <t>Profit</t>
  </si>
  <si>
    <t>Month</t>
  </si>
  <si>
    <t>Price</t>
  </si>
  <si>
    <t>Demand (00s)</t>
  </si>
  <si>
    <t>Intercept (b):</t>
  </si>
  <si>
    <t>Slope (m):</t>
  </si>
  <si>
    <t>Linear: y=mx+b</t>
  </si>
  <si>
    <t>Power: y=ax^b</t>
  </si>
  <si>
    <t>Constant (a)</t>
  </si>
  <si>
    <t>Exponent (b)</t>
  </si>
  <si>
    <t>Exponential: y=ae^(bx)</t>
  </si>
  <si>
    <t>Prediction Based on Models</t>
  </si>
  <si>
    <t>Price (x)</t>
  </si>
  <si>
    <t>Linear</t>
  </si>
  <si>
    <t>Power</t>
  </si>
  <si>
    <t>Exponential</t>
  </si>
  <si>
    <t>Actual Demand</t>
  </si>
  <si>
    <t>Absolute Percent Error</t>
  </si>
  <si>
    <t>Average:</t>
  </si>
  <si>
    <t>&lt;-- use the model with the smallest error</t>
  </si>
  <si>
    <t>Model the Business</t>
  </si>
  <si>
    <t xml:space="preserve">Unit Cost: </t>
  </si>
  <si>
    <t>per set of clubs</t>
  </si>
  <si>
    <t xml:space="preserve">Sale Price: </t>
  </si>
  <si>
    <t>&lt;--multiple of ten</t>
  </si>
  <si>
    <t>&lt;--coming from power model</t>
  </si>
  <si>
    <t>Actual Demand:</t>
  </si>
  <si>
    <t>Cost:</t>
  </si>
  <si>
    <t>Revenue:</t>
  </si>
  <si>
    <t>a)</t>
  </si>
  <si>
    <t>Sell at a price of $530 for a profit of 1042188</t>
  </si>
  <si>
    <t xml:space="preserve">Price </t>
  </si>
  <si>
    <t>Unit cost</t>
  </si>
  <si>
    <t>For: By Using Exponential Model</t>
  </si>
  <si>
    <t>Demand(00s)</t>
  </si>
  <si>
    <t>Cost</t>
  </si>
  <si>
    <t>&lt;-- coming from exponential mod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</si>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</sst>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  <numFmt numFmtId="167" formatCode="&quot;$&quot;#,##0.00"/>
    <numFmt numFmtId="168" formatCode="&quot;$&quot;#,##0"/>
  </numFmts>
  <fonts count="1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1F1F1F"/>
      <name val="Var(--cds-font-family-source-sa"/>
    </font>
    <font>
      <sz val="11"/>
      <color rgb="FF1F1F1F"/>
      <name val="Var(--cds-font-family-source-sa"/>
    </font>
    <font>
      <b/>
      <sz val="11"/>
      <color rgb="FF1F1F1F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44" fontId="0" fillId="0" borderId="0" xfId="0" applyNumberFormat="1"/>
    <xf numFmtId="164" fontId="0" fillId="0" borderId="0" xfId="0" applyNumberFormat="1"/>
    <xf numFmtId="164" fontId="1" fillId="2" borderId="0" xfId="1" applyNumberFormat="1"/>
    <xf numFmtId="0" fontId="0" fillId="0" borderId="1" xfId="0" applyBorder="1"/>
    <xf numFmtId="44" fontId="0" fillId="0" borderId="1" xfId="0" applyNumberFormat="1" applyBorder="1"/>
    <xf numFmtId="164" fontId="0" fillId="0" borderId="1" xfId="0" applyNumberFormat="1" applyBorder="1"/>
    <xf numFmtId="0" fontId="6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165" fontId="9" fillId="0" borderId="1" xfId="0" applyNumberFormat="1" applyFont="1" applyBorder="1" applyAlignment="1">
      <alignment horizontal="left" indent="2"/>
    </xf>
    <xf numFmtId="0" fontId="10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 indent="2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165" fontId="9" fillId="0" borderId="7" xfId="0" applyNumberFormat="1" applyFont="1" applyBorder="1" applyAlignment="1">
      <alignment horizontal="left" indent="2"/>
    </xf>
    <xf numFmtId="165" fontId="9" fillId="0" borderId="8" xfId="0" applyNumberFormat="1" applyFont="1" applyBorder="1" applyAlignment="1">
      <alignment horizontal="left" indent="2"/>
    </xf>
    <xf numFmtId="165" fontId="9" fillId="0" borderId="9" xfId="0" applyNumberFormat="1" applyFont="1" applyBorder="1" applyAlignment="1">
      <alignment horizontal="left" indent="2"/>
    </xf>
    <xf numFmtId="165" fontId="9" fillId="0" borderId="10" xfId="0" applyNumberFormat="1" applyFont="1" applyBorder="1" applyAlignment="1">
      <alignment horizontal="left" indent="2"/>
    </xf>
    <xf numFmtId="165" fontId="9" fillId="0" borderId="11" xfId="0" applyNumberFormat="1" applyFont="1" applyBorder="1" applyAlignment="1">
      <alignment horizontal="left" indent="2"/>
    </xf>
    <xf numFmtId="0" fontId="10" fillId="0" borderId="12" xfId="0" applyFont="1" applyBorder="1" applyAlignment="1">
      <alignment horizontal="left"/>
    </xf>
    <xf numFmtId="0" fontId="9" fillId="3" borderId="12" xfId="0" applyFont="1" applyFill="1" applyBorder="1" applyAlignment="1">
      <alignment horizontal="left" vertical="center" wrapText="1" indent="2"/>
    </xf>
    <xf numFmtId="166" fontId="0" fillId="0" borderId="1" xfId="3" applyNumberFormat="1" applyFont="1" applyBorder="1"/>
    <xf numFmtId="166" fontId="0" fillId="0" borderId="7" xfId="3" applyNumberFormat="1" applyFont="1" applyBorder="1"/>
    <xf numFmtId="166" fontId="0" fillId="0" borderId="8" xfId="3" applyNumberFormat="1" applyFont="1" applyBorder="1"/>
    <xf numFmtId="0" fontId="9" fillId="3" borderId="14" xfId="0" applyFont="1" applyFill="1" applyBorder="1" applyAlignment="1">
      <alignment horizontal="left" vertical="center" wrapText="1" indent="2"/>
    </xf>
    <xf numFmtId="166" fontId="0" fillId="0" borderId="15" xfId="3" applyNumberFormat="1" applyFont="1" applyBorder="1"/>
    <xf numFmtId="166" fontId="0" fillId="0" borderId="16" xfId="3" applyNumberFormat="1" applyFont="1" applyBorder="1"/>
    <xf numFmtId="166" fontId="0" fillId="0" borderId="17" xfId="3" applyNumberFormat="1" applyFont="1" applyBorder="1"/>
    <xf numFmtId="0" fontId="11" fillId="0" borderId="13" xfId="0" applyFont="1" applyBorder="1"/>
    <xf numFmtId="166" fontId="11" fillId="0" borderId="13" xfId="0" applyNumberFormat="1" applyFont="1" applyBorder="1"/>
    <xf numFmtId="166" fontId="1" fillId="2" borderId="13" xfId="1" applyNumberFormat="1" applyBorder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44" fontId="3" fillId="0" borderId="0" xfId="0" applyNumberFormat="1" applyFont="1"/>
    <xf numFmtId="44" fontId="2" fillId="0" borderId="0" xfId="0" applyNumberFormat="1" applyFont="1"/>
    <xf numFmtId="44" fontId="0" fillId="0" borderId="0" xfId="2" applyFont="1"/>
    <xf numFmtId="164" fontId="5" fillId="4" borderId="0" xfId="0" applyNumberFormat="1" applyFont="1" applyFill="1"/>
    <xf numFmtId="44" fontId="3" fillId="0" borderId="1" xfId="0" applyNumberFormat="1" applyFont="1" applyBorder="1"/>
    <xf numFmtId="164" fontId="0" fillId="0" borderId="1" xfId="2" applyNumberFormat="1" applyFont="1" applyBorder="1"/>
    <xf numFmtId="44" fontId="0" fillId="0" borderId="1" xfId="2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center"/>
    </xf>
  </cellXfs>
  <cellStyles count="4">
    <cellStyle name="Currency" xfId="2" builtinId="4"/>
    <cellStyle name="Good" xfId="1" builtinId="26"/>
    <cellStyle name="Normal" xfId="0" builtinId="0"/>
    <cellStyle name="Percent" xfId="3" builtinId="5"/>
  </cellStyles>
  <dxfs count="5"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Vs Demand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Solution!$C$1</c:f>
              <c:strCache>
                <c:ptCount val="1"/>
                <c:pt idx="0">
                  <c:v>Demand (00s)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8743438320209972E-2"/>
                  <c:y val="-0.541384878973461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4.7687882764654417E-2"/>
                  <c:y val="-0.3920169874599008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47083276986498573"/>
                  <c:y val="-0.531431704486450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Solution!$B$2:$B$13</c:f>
              <c:numCache>
                <c:formatCode>General</c:formatCode>
                <c:ptCount val="12"/>
                <c:pt idx="0">
                  <c:v>450</c:v>
                </c:pt>
                <c:pt idx="1">
                  <c:v>300</c:v>
                </c:pt>
                <c:pt idx="2">
                  <c:v>440</c:v>
                </c:pt>
                <c:pt idx="3">
                  <c:v>360</c:v>
                </c:pt>
                <c:pt idx="4">
                  <c:v>290</c:v>
                </c:pt>
                <c:pt idx="5">
                  <c:v>450</c:v>
                </c:pt>
                <c:pt idx="6">
                  <c:v>340</c:v>
                </c:pt>
                <c:pt idx="7">
                  <c:v>370</c:v>
                </c:pt>
                <c:pt idx="8">
                  <c:v>500</c:v>
                </c:pt>
                <c:pt idx="9">
                  <c:v>490</c:v>
                </c:pt>
                <c:pt idx="10">
                  <c:v>430</c:v>
                </c:pt>
                <c:pt idx="11">
                  <c:v>390</c:v>
                </c:pt>
              </c:numCache>
            </c:numRef>
          </c:xVal>
          <c:yVal>
            <c:numRef>
              <c:f>Solution!$C$2:$C$13</c:f>
              <c:numCache>
                <c:formatCode>General</c:formatCode>
                <c:ptCount val="12"/>
                <c:pt idx="0">
                  <c:v>45</c:v>
                </c:pt>
                <c:pt idx="1">
                  <c:v>103</c:v>
                </c:pt>
                <c:pt idx="2">
                  <c:v>49</c:v>
                </c:pt>
                <c:pt idx="3">
                  <c:v>86</c:v>
                </c:pt>
                <c:pt idx="4">
                  <c:v>125</c:v>
                </c:pt>
                <c:pt idx="5">
                  <c:v>52</c:v>
                </c:pt>
                <c:pt idx="6">
                  <c:v>87</c:v>
                </c:pt>
                <c:pt idx="7">
                  <c:v>68</c:v>
                </c:pt>
                <c:pt idx="8">
                  <c:v>45</c:v>
                </c:pt>
                <c:pt idx="9">
                  <c:v>44</c:v>
                </c:pt>
                <c:pt idx="10">
                  <c:v>58</c:v>
                </c:pt>
                <c:pt idx="11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7C-419D-A210-835732462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057392"/>
        <c:axId val="332047824"/>
      </c:scatterChart>
      <c:valAx>
        <c:axId val="33205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047824"/>
        <c:crosses val="autoZero"/>
        <c:crossBetween val="midCat"/>
      </c:valAx>
      <c:valAx>
        <c:axId val="33204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(00s)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05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Solution!$H$39:$H$76</c:f>
              <c:numCache>
                <c:formatCode>_("$"* #,##0.00_);_("$"* \(#,##0.00\);_("$"* "-"??_);_(@_)</c:formatCode>
                <c:ptCount val="38"/>
                <c:pt idx="0">
                  <c:v>260</c:v>
                </c:pt>
                <c:pt idx="1">
                  <c:v>270</c:v>
                </c:pt>
                <c:pt idx="2">
                  <c:v>280</c:v>
                </c:pt>
                <c:pt idx="3">
                  <c:v>290</c:v>
                </c:pt>
                <c:pt idx="4">
                  <c:v>300</c:v>
                </c:pt>
                <c:pt idx="5">
                  <c:v>310</c:v>
                </c:pt>
                <c:pt idx="6">
                  <c:v>320</c:v>
                </c:pt>
                <c:pt idx="7">
                  <c:v>330</c:v>
                </c:pt>
                <c:pt idx="8">
                  <c:v>340</c:v>
                </c:pt>
                <c:pt idx="9">
                  <c:v>350</c:v>
                </c:pt>
                <c:pt idx="10">
                  <c:v>360</c:v>
                </c:pt>
                <c:pt idx="11">
                  <c:v>370</c:v>
                </c:pt>
                <c:pt idx="12">
                  <c:v>380</c:v>
                </c:pt>
                <c:pt idx="13">
                  <c:v>390</c:v>
                </c:pt>
                <c:pt idx="14">
                  <c:v>400</c:v>
                </c:pt>
                <c:pt idx="15">
                  <c:v>410</c:v>
                </c:pt>
                <c:pt idx="16">
                  <c:v>420</c:v>
                </c:pt>
                <c:pt idx="17">
                  <c:v>430</c:v>
                </c:pt>
                <c:pt idx="18">
                  <c:v>440</c:v>
                </c:pt>
                <c:pt idx="19">
                  <c:v>450</c:v>
                </c:pt>
                <c:pt idx="20">
                  <c:v>460</c:v>
                </c:pt>
                <c:pt idx="21">
                  <c:v>470</c:v>
                </c:pt>
                <c:pt idx="22">
                  <c:v>480</c:v>
                </c:pt>
                <c:pt idx="23">
                  <c:v>490</c:v>
                </c:pt>
                <c:pt idx="24">
                  <c:v>500</c:v>
                </c:pt>
                <c:pt idx="25">
                  <c:v>510</c:v>
                </c:pt>
                <c:pt idx="26">
                  <c:v>520</c:v>
                </c:pt>
                <c:pt idx="27">
                  <c:v>530</c:v>
                </c:pt>
                <c:pt idx="28">
                  <c:v>540</c:v>
                </c:pt>
                <c:pt idx="29">
                  <c:v>550</c:v>
                </c:pt>
                <c:pt idx="30">
                  <c:v>560</c:v>
                </c:pt>
                <c:pt idx="31">
                  <c:v>570</c:v>
                </c:pt>
                <c:pt idx="32">
                  <c:v>580</c:v>
                </c:pt>
                <c:pt idx="33">
                  <c:v>590</c:v>
                </c:pt>
                <c:pt idx="34">
                  <c:v>600</c:v>
                </c:pt>
                <c:pt idx="35">
                  <c:v>800</c:v>
                </c:pt>
                <c:pt idx="36">
                  <c:v>900</c:v>
                </c:pt>
                <c:pt idx="37">
                  <c:v>1000</c:v>
                </c:pt>
              </c:numCache>
            </c:numRef>
          </c:xVal>
          <c:yVal>
            <c:numRef>
              <c:f>Solution!$I$39:$I$76</c:f>
              <c:numCache>
                <c:formatCode>_("$"* #,##0_);_("$"* \(#,##0\);_("$"* "-"??_);_(@_)</c:formatCode>
                <c:ptCount val="38"/>
                <c:pt idx="0">
                  <c:v>144859.72842847556</c:v>
                </c:pt>
                <c:pt idx="1">
                  <c:v>269590.60184817808</c:v>
                </c:pt>
                <c:pt idx="2">
                  <c:v>377277.18719872413</c:v>
                </c:pt>
                <c:pt idx="3">
                  <c:v>470458.61526328744</c:v>
                </c:pt>
                <c:pt idx="4">
                  <c:v>551238.40185229108</c:v>
                </c:pt>
                <c:pt idx="5">
                  <c:v>621369.53021456813</c:v>
                </c:pt>
                <c:pt idx="6">
                  <c:v>682320.93416212313</c:v>
                </c:pt>
                <c:pt idx="7">
                  <c:v>735329.86392835062</c:v>
                </c:pt>
                <c:pt idx="8">
                  <c:v>781443.44106265297</c:v>
                </c:pt>
                <c:pt idx="9">
                  <c:v>821551.86522268457</c:v>
                </c:pt>
                <c:pt idx="10">
                  <c:v>856415.12424477958</c:v>
                </c:pt>
                <c:pt idx="11">
                  <c:v>886684.61116254725</c:v>
                </c:pt>
                <c:pt idx="12">
                  <c:v>912920.72098907013</c:v>
                </c:pt>
                <c:pt idx="13">
                  <c:v>935607.253438466</c:v>
                </c:pt>
                <c:pt idx="14">
                  <c:v>955163.26238462282</c:v>
                </c:pt>
                <c:pt idx="15">
                  <c:v>971952.85243747453</c:v>
                </c:pt>
                <c:pt idx="16">
                  <c:v>986293.31587235699</c:v>
                </c:pt>
                <c:pt idx="17">
                  <c:v>998461.92082203622</c:v>
                </c:pt>
                <c:pt idx="18">
                  <c:v>1008701.5979665397</c:v>
                </c:pt>
                <c:pt idx="19">
                  <c:v>1017225.7233983984</c:v>
                </c:pt>
                <c:pt idx="20">
                  <c:v>1024222.1565401531</c:v>
                </c:pt>
                <c:pt idx="21">
                  <c:v>1029856.6614397548</c:v>
                </c:pt>
                <c:pt idx="22">
                  <c:v>1034275.8155834542</c:v>
                </c:pt>
                <c:pt idx="23">
                  <c:v>1037609.4911199291</c:v>
                </c:pt>
                <c:pt idx="24">
                  <c:v>1039972.9779989794</c:v>
                </c:pt>
                <c:pt idx="25">
                  <c:v>1041468.8061629091</c:v>
                </c:pt>
                <c:pt idx="26">
                  <c:v>1042188.3139489595</c:v>
                </c:pt>
                <c:pt idx="27">
                  <c:v>1042213.0017719698</c:v>
                </c:pt>
                <c:pt idx="28">
                  <c:v>1041615.7035724644</c:v>
                </c:pt>
                <c:pt idx="29">
                  <c:v>1040461.6031350964</c:v>
                </c:pt>
                <c:pt idx="30">
                  <c:v>1038809.1179690239</c:v>
                </c:pt>
                <c:pt idx="31">
                  <c:v>1036710.669808225</c:v>
                </c:pt>
                <c:pt idx="32">
                  <c:v>1034213.3577876764</c:v>
                </c:pt>
                <c:pt idx="33">
                  <c:v>1031359.5478624469</c:v>
                </c:pt>
                <c:pt idx="34">
                  <c:v>1028187.3899667513</c:v>
                </c:pt>
                <c:pt idx="35" formatCode="_(&quot;$&quot;* #,##0.00_);_(&quot;$&quot;* \(#,##0.00\);_(&quot;$&quot;* &quot;-&quot;??_);_(@_)">
                  <c:v>933219.50848926988</c:v>
                </c:pt>
                <c:pt idx="36" formatCode="_(&quot;$&quot;* #,##0.00_);_(&quot;$&quot;* \(#,##0.00\);_(&quot;$&quot;* &quot;-&quot;??_);_(@_)">
                  <c:v>880917.95766693447</c:v>
                </c:pt>
                <c:pt idx="37" formatCode="_(&quot;$&quot;* #,##0.00_);_(&quot;$&quot;* \(#,##0.00\);_(&quot;$&quot;* &quot;-&quot;??_);_(@_)">
                  <c:v>831338.85314930137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11-401A-B2E9-4035F72C0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573056"/>
        <c:axId val="326571392"/>
      </c:scatterChart>
      <c:valAx>
        <c:axId val="32657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71392"/>
        <c:crosses val="autoZero"/>
        <c:crossBetween val="midCat"/>
      </c:valAx>
      <c:valAx>
        <c:axId val="32657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7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82550</xdr:rowOff>
    </xdr:from>
    <xdr:to>
      <xdr:col>11</xdr:col>
      <xdr:colOff>448695</xdr:colOff>
      <xdr:row>7</xdr:row>
      <xdr:rowOff>117660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025874-EFCA-4FF8-A629-15E2294E6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2550"/>
          <a:ext cx="7306695" cy="1324160"/>
        </a:xfrm>
        <a:prstGeom prst="rect">
          <a:avLst/>
        </a:prstGeom>
      </xdr:spPr>
    </xdr:pic>
    <xdr:clientData/>
  </xdr:twoCellAnchor>
  <xdr:twoCellAnchor editAs="oneCell">
    <xdr:from>
      <xdr:col>3</xdr:col>
      <xdr:colOff>393700</xdr:colOff>
      <xdr:row>8</xdr:row>
      <xdr:rowOff>25400</xdr:rowOff>
    </xdr:from>
    <xdr:to>
      <xdr:col>16</xdr:col>
      <xdr:colOff>156648</xdr:colOff>
      <xdr:row>17</xdr:row>
      <xdr:rowOff>159024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9C6C40-3D0D-45DA-A7D1-1BA7693A6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1100" y="1498600"/>
          <a:ext cx="7687748" cy="19624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174625</xdr:colOff>
      <xdr:row>0</xdr:row>
      <xdr:rowOff>149225</xdr:rowOff>
    </xdr:from>
    <xdr:to>
      <xdr:col>13</xdr:col>
      <xdr:colOff>923925</xdr:colOff>
      <xdr:row>15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849BB-6E9E-43CC-A36F-CAC1C2219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146843</xdr:colOff>
      <xdr:row>55</xdr:row>
      <xdr:rowOff>25400</xdr:rowOff>
    </xdr:from>
    <xdr:to>
      <xdr:col>17</xdr:col>
      <xdr:colOff>440530</xdr:colOff>
      <xdr:row>70</xdr:row>
      <xdr:rowOff>30163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ACBD81-C211-4A8A-87B7-8E0C68486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1898-D8B4-4B01-A3AC-AF9B18EC98E7}">
  <dimension ref="A10:C22"/>
  <sheetViews>
    <sheetView topLeftCell="A9" workbookViewId="0">
      <selection activeCell="L20" sqref="L20"/>
    </sheetView>
  </sheetViews>
  <sheetFormatPr defaultRowHeight="14.5"/>
  <cols>
    <col min="1" max="1" width="9.6328125" customWidth="1"/>
    <col min="2" max="2" width="11.26953125" customWidth="1"/>
    <col min="3" max="3" width="8.54296875" bestFit="1" customWidth="1"/>
  </cols>
  <sheetData>
    <row r="10" spans="1:3" ht="28">
      <c r="A10" s="8" t="s">
        <v>1</v>
      </c>
      <c r="B10" s="8" t="s">
        <v>2</v>
      </c>
      <c r="C10" s="8" t="s">
        <v>3</v>
      </c>
    </row>
    <row r="11" spans="1:3">
      <c r="A11" s="9">
        <v>1</v>
      </c>
      <c r="B11" s="9">
        <v>450</v>
      </c>
      <c r="C11" s="9">
        <v>45</v>
      </c>
    </row>
    <row r="12" spans="1:3">
      <c r="A12" s="9">
        <v>2</v>
      </c>
      <c r="B12" s="9">
        <v>300</v>
      </c>
      <c r="C12" s="9">
        <v>103</v>
      </c>
    </row>
    <row r="13" spans="1:3">
      <c r="A13" s="9">
        <v>3</v>
      </c>
      <c r="B13" s="9">
        <v>440</v>
      </c>
      <c r="C13" s="9">
        <v>49</v>
      </c>
    </row>
    <row r="14" spans="1:3">
      <c r="A14" s="9">
        <v>4</v>
      </c>
      <c r="B14" s="9">
        <v>360</v>
      </c>
      <c r="C14" s="9">
        <v>86</v>
      </c>
    </row>
    <row r="15" spans="1:3">
      <c r="A15" s="9">
        <v>5</v>
      </c>
      <c r="B15" s="9">
        <v>290</v>
      </c>
      <c r="C15" s="9">
        <v>125</v>
      </c>
    </row>
    <row r="16" spans="1:3">
      <c r="A16" s="9">
        <v>6</v>
      </c>
      <c r="B16" s="9">
        <v>450</v>
      </c>
      <c r="C16" s="9">
        <v>52</v>
      </c>
    </row>
    <row r="17" spans="1:3">
      <c r="A17" s="9">
        <v>7</v>
      </c>
      <c r="B17" s="9">
        <v>340</v>
      </c>
      <c r="C17" s="9">
        <v>87</v>
      </c>
    </row>
    <row r="18" spans="1:3">
      <c r="A18" s="9">
        <v>8</v>
      </c>
      <c r="B18" s="9">
        <v>370</v>
      </c>
      <c r="C18" s="9">
        <v>68</v>
      </c>
    </row>
    <row r="19" spans="1:3">
      <c r="A19" s="9">
        <v>9</v>
      </c>
      <c r="B19" s="9">
        <v>500</v>
      </c>
      <c r="C19" s="9">
        <v>45</v>
      </c>
    </row>
    <row r="20" spans="1:3">
      <c r="A20" s="9">
        <v>10</v>
      </c>
      <c r="B20" s="9">
        <v>490</v>
      </c>
      <c r="C20" s="9">
        <v>44</v>
      </c>
    </row>
    <row r="21" spans="1:3">
      <c r="A21" s="9">
        <v>11</v>
      </c>
      <c r="B21" s="9">
        <v>430</v>
      </c>
      <c r="C21" s="9">
        <v>58</v>
      </c>
    </row>
    <row r="22" spans="1:3">
      <c r="A22" s="9">
        <v>12</v>
      </c>
      <c r="B22" s="9">
        <v>390</v>
      </c>
      <c r="C22" s="9">
        <v>68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B531-337E-4FFE-A06E-CB3875564E52}">
  <dimension ref="A1:R116"/>
  <sheetViews>
    <sheetView tabSelected="1" topLeftCell="G99" zoomScale="80" zoomScaleNormal="80" zoomScaleSheetLayoutView="100" workbookViewId="0">
      <selection activeCell="R109" sqref="R109"/>
    </sheetView>
  </sheetViews>
  <sheetFormatPr defaultRowHeight="14.5"/>
  <cols>
    <col min="1" max="1" width="13.54296875" bestFit="1" customWidth="1"/>
    <col min="2" max="2" width="14.36328125" bestFit="1" customWidth="1"/>
    <col min="3" max="3" width="12.453125" bestFit="1" customWidth="1"/>
    <col min="4" max="4" width="10.81640625" bestFit="1" customWidth="1"/>
    <col min="5" max="5" width="13.7265625" bestFit="1" customWidth="1"/>
    <col min="6" max="6" width="20" bestFit="1" customWidth="1"/>
    <col min="7" max="7" width="14" bestFit="1" customWidth="1"/>
    <col min="8" max="8" width="15.36328125" customWidth="1"/>
    <col min="9" max="9" width="14.90625" customWidth="1"/>
    <col min="10" max="18" width="14.54296875" bestFit="1" customWidth="1"/>
  </cols>
  <sheetData>
    <row r="1" spans="1:6">
      <c r="A1" s="10" t="s">
        <v>1</v>
      </c>
      <c r="B1" s="10" t="s">
        <v>2</v>
      </c>
      <c r="C1" s="10" t="s">
        <v>3</v>
      </c>
    </row>
    <row r="2" spans="1:6">
      <c r="A2" s="11">
        <v>1</v>
      </c>
      <c r="B2" s="11">
        <v>450</v>
      </c>
      <c r="C2" s="11">
        <v>45</v>
      </c>
    </row>
    <row r="3" spans="1:6">
      <c r="A3" s="11">
        <v>2</v>
      </c>
      <c r="B3" s="11">
        <v>300</v>
      </c>
      <c r="C3" s="11">
        <v>103</v>
      </c>
    </row>
    <row r="4" spans="1:6">
      <c r="A4" s="11">
        <v>3</v>
      </c>
      <c r="B4" s="11">
        <v>440</v>
      </c>
      <c r="C4" s="11">
        <v>49</v>
      </c>
    </row>
    <row r="5" spans="1:6">
      <c r="A5" s="11">
        <v>4</v>
      </c>
      <c r="B5" s="11">
        <v>360</v>
      </c>
      <c r="C5" s="11">
        <v>86</v>
      </c>
    </row>
    <row r="6" spans="1:6">
      <c r="A6" s="11">
        <v>5</v>
      </c>
      <c r="B6" s="11">
        <v>290</v>
      </c>
      <c r="C6" s="11">
        <v>125</v>
      </c>
    </row>
    <row r="7" spans="1:6">
      <c r="A7" s="11">
        <v>6</v>
      </c>
      <c r="B7" s="11">
        <v>450</v>
      </c>
      <c r="C7" s="11">
        <v>52</v>
      </c>
    </row>
    <row r="8" spans="1:6">
      <c r="A8" s="11">
        <v>7</v>
      </c>
      <c r="B8" s="11">
        <v>340</v>
      </c>
      <c r="C8" s="11">
        <v>87</v>
      </c>
    </row>
    <row r="9" spans="1:6">
      <c r="A9" s="11">
        <v>8</v>
      </c>
      <c r="B9" s="11">
        <v>370</v>
      </c>
      <c r="C9" s="11">
        <v>68</v>
      </c>
    </row>
    <row r="10" spans="1:6">
      <c r="A10" s="11">
        <v>9</v>
      </c>
      <c r="B10" s="11">
        <v>500</v>
      </c>
      <c r="C10" s="11">
        <v>45</v>
      </c>
    </row>
    <row r="11" spans="1:6">
      <c r="A11" s="11">
        <v>10</v>
      </c>
      <c r="B11" s="11">
        <v>490</v>
      </c>
      <c r="C11" s="11">
        <v>44</v>
      </c>
    </row>
    <row r="12" spans="1:6">
      <c r="A12" s="11">
        <v>11</v>
      </c>
      <c r="B12" s="11">
        <v>430</v>
      </c>
      <c r="C12" s="11">
        <v>58</v>
      </c>
    </row>
    <row r="13" spans="1:6">
      <c r="A13" s="11">
        <v>12</v>
      </c>
      <c r="B13" s="11">
        <v>390</v>
      </c>
      <c r="C13" s="11">
        <v>68</v>
      </c>
    </row>
    <row r="15" spans="1:6">
      <c r="A15" s="45" t="s">
        <v>6</v>
      </c>
      <c r="B15" s="46"/>
      <c r="C15" s="45" t="s">
        <v>7</v>
      </c>
      <c r="D15" s="46"/>
      <c r="E15" s="45" t="s">
        <v>10</v>
      </c>
      <c r="F15" s="46"/>
    </row>
    <row r="16" spans="1:6">
      <c r="A16" s="5" t="s">
        <v>4</v>
      </c>
      <c r="B16" s="11">
        <v>211.31</v>
      </c>
      <c r="C16" s="5" t="s">
        <v>8</v>
      </c>
      <c r="D16" s="5">
        <v>5871064</v>
      </c>
      <c r="E16" s="5" t="s">
        <v>8</v>
      </c>
      <c r="F16" s="5">
        <v>466.51</v>
      </c>
    </row>
    <row r="17" spans="1:8">
      <c r="A17" s="5" t="s">
        <v>5</v>
      </c>
      <c r="B17" s="11">
        <v>-0.35460000000000003</v>
      </c>
      <c r="C17" s="5" t="s">
        <v>9</v>
      </c>
      <c r="D17" s="5">
        <v>-1.9079999999999999</v>
      </c>
      <c r="E17" s="5" t="s">
        <v>9</v>
      </c>
      <c r="F17" s="5">
        <v>-5.0000000000000001E-3</v>
      </c>
    </row>
    <row r="19" spans="1:8" ht="15" thickBot="1">
      <c r="A19" t="s">
        <v>11</v>
      </c>
      <c r="F19" t="s">
        <v>17</v>
      </c>
    </row>
    <row r="20" spans="1:8">
      <c r="A20" s="13" t="s">
        <v>12</v>
      </c>
      <c r="B20" s="15" t="s">
        <v>13</v>
      </c>
      <c r="C20" s="16" t="s">
        <v>14</v>
      </c>
      <c r="D20" s="17" t="s">
        <v>15</v>
      </c>
      <c r="E20" s="23" t="s">
        <v>16</v>
      </c>
      <c r="F20" s="15" t="s">
        <v>13</v>
      </c>
      <c r="G20" s="16" t="s">
        <v>14</v>
      </c>
      <c r="H20" s="17" t="s">
        <v>15</v>
      </c>
    </row>
    <row r="21" spans="1:8">
      <c r="A21" s="14">
        <v>450</v>
      </c>
      <c r="B21" s="18">
        <f>$B$17*A21+$B$16</f>
        <v>51.739999999999981</v>
      </c>
      <c r="C21" s="12">
        <f>$D$16*A21^$D$17</f>
        <v>50.861286169919921</v>
      </c>
      <c r="D21" s="19">
        <f>$F$16*EXP($F$17*A21)</f>
        <v>49.169792250355329</v>
      </c>
      <c r="E21" s="24">
        <v>45</v>
      </c>
      <c r="F21" s="26">
        <f>ABS(B21-E21)/E21</f>
        <v>0.14977777777777734</v>
      </c>
      <c r="G21" s="25">
        <f>ABS(C21-E21)/E21</f>
        <v>0.13025080377599826</v>
      </c>
      <c r="H21" s="27">
        <f>ABS(D21-E21)/E21</f>
        <v>9.2662050007896193E-2</v>
      </c>
    </row>
    <row r="22" spans="1:8">
      <c r="A22" s="14">
        <v>300</v>
      </c>
      <c r="B22" s="18">
        <f t="shared" ref="B22:B32" si="0">$B$17*A22+$B$16</f>
        <v>104.92999999999999</v>
      </c>
      <c r="C22" s="12">
        <f t="shared" ref="C22:C32" si="1">$D$16*A22^$D$17</f>
        <v>110.2476803704582</v>
      </c>
      <c r="D22" s="19">
        <f t="shared" ref="D22:D32" si="2">$F$16*EXP($F$17*A22)</f>
        <v>104.09245101084399</v>
      </c>
      <c r="E22" s="24">
        <v>103</v>
      </c>
      <c r="F22" s="26">
        <f t="shared" ref="F22:F32" si="3">ABS(B22-E22)/E22</f>
        <v>1.8737864077669832E-2</v>
      </c>
      <c r="G22" s="25">
        <f t="shared" ref="G22:G32" si="4">ABS(C22-E22)/E22</f>
        <v>7.0365828839399985E-2</v>
      </c>
      <c r="H22" s="27">
        <f t="shared" ref="H22:H32" si="5">ABS(D22-E22)/E22</f>
        <v>1.0606320493630948E-2</v>
      </c>
    </row>
    <row r="23" spans="1:8">
      <c r="A23" s="14">
        <v>440</v>
      </c>
      <c r="B23" s="18">
        <f t="shared" si="0"/>
        <v>55.286000000000001</v>
      </c>
      <c r="C23" s="12">
        <f t="shared" si="1"/>
        <v>53.089557787712614</v>
      </c>
      <c r="D23" s="19">
        <f t="shared" si="2"/>
        <v>51.69078140761237</v>
      </c>
      <c r="E23" s="24">
        <v>49</v>
      </c>
      <c r="F23" s="26">
        <f t="shared" si="3"/>
        <v>0.12828571428571431</v>
      </c>
      <c r="G23" s="25">
        <f t="shared" si="4"/>
        <v>8.3460363014543154E-2</v>
      </c>
      <c r="H23" s="27">
        <f t="shared" si="5"/>
        <v>5.4913906277803466E-2</v>
      </c>
    </row>
    <row r="24" spans="1:8">
      <c r="A24" s="14">
        <v>360</v>
      </c>
      <c r="B24" s="18">
        <f t="shared" si="0"/>
        <v>83.653999999999996</v>
      </c>
      <c r="C24" s="12">
        <f t="shared" si="1"/>
        <v>77.85592038588905</v>
      </c>
      <c r="D24" s="19">
        <f t="shared" si="2"/>
        <v>77.113584344252331</v>
      </c>
      <c r="E24" s="24">
        <v>86</v>
      </c>
      <c r="F24" s="26">
        <f t="shared" si="3"/>
        <v>2.7279069767441901E-2</v>
      </c>
      <c r="G24" s="25">
        <f t="shared" si="4"/>
        <v>9.4698600164080812E-2</v>
      </c>
      <c r="H24" s="27">
        <f t="shared" si="5"/>
        <v>0.10333041460171709</v>
      </c>
    </row>
    <row r="25" spans="1:8">
      <c r="A25" s="14">
        <v>290</v>
      </c>
      <c r="B25" s="18">
        <f t="shared" si="0"/>
        <v>108.476</v>
      </c>
      <c r="C25" s="12">
        <f t="shared" si="1"/>
        <v>117.61465381582187</v>
      </c>
      <c r="D25" s="19">
        <f t="shared" si="2"/>
        <v>109.42938509863754</v>
      </c>
      <c r="E25" s="24">
        <v>125</v>
      </c>
      <c r="F25" s="26">
        <f t="shared" si="3"/>
        <v>0.132192</v>
      </c>
      <c r="G25" s="25">
        <f t="shared" si="4"/>
        <v>5.9082769473425063E-2</v>
      </c>
      <c r="H25" s="27">
        <f t="shared" si="5"/>
        <v>0.12456491921089968</v>
      </c>
    </row>
    <row r="26" spans="1:8">
      <c r="A26" s="14">
        <v>450</v>
      </c>
      <c r="B26" s="18">
        <f t="shared" si="0"/>
        <v>51.739999999999981</v>
      </c>
      <c r="C26" s="12">
        <f t="shared" si="1"/>
        <v>50.861286169919921</v>
      </c>
      <c r="D26" s="19">
        <f t="shared" si="2"/>
        <v>49.169792250355329</v>
      </c>
      <c r="E26" s="24">
        <v>52</v>
      </c>
      <c r="F26" s="26">
        <f t="shared" si="3"/>
        <v>5.0000000000003713E-3</v>
      </c>
      <c r="G26" s="25">
        <f t="shared" si="4"/>
        <v>2.1898342886155355E-2</v>
      </c>
      <c r="H26" s="27">
        <f t="shared" si="5"/>
        <v>5.4427072108551369E-2</v>
      </c>
    </row>
    <row r="27" spans="1:8">
      <c r="A27" s="14">
        <v>340</v>
      </c>
      <c r="B27" s="18">
        <f t="shared" si="0"/>
        <v>90.745999999999995</v>
      </c>
      <c r="C27" s="12">
        <f t="shared" si="1"/>
        <v>86.827049006961417</v>
      </c>
      <c r="D27" s="19">
        <f t="shared" si="2"/>
        <v>85.223690805841244</v>
      </c>
      <c r="E27" s="24">
        <v>87</v>
      </c>
      <c r="F27" s="26">
        <f t="shared" si="3"/>
        <v>4.3057471264367757E-2</v>
      </c>
      <c r="G27" s="25">
        <f t="shared" si="4"/>
        <v>1.9879424487193459E-3</v>
      </c>
      <c r="H27" s="27">
        <f t="shared" si="5"/>
        <v>2.0417347059296046E-2</v>
      </c>
    </row>
    <row r="28" spans="1:8">
      <c r="A28" s="14">
        <v>370</v>
      </c>
      <c r="B28" s="18">
        <f t="shared" si="0"/>
        <v>80.108000000000004</v>
      </c>
      <c r="C28" s="12">
        <f t="shared" si="1"/>
        <v>73.890384263545585</v>
      </c>
      <c r="D28" s="19">
        <f t="shared" si="2"/>
        <v>73.352710456970414</v>
      </c>
      <c r="E28" s="24">
        <v>68</v>
      </c>
      <c r="F28" s="26">
        <f t="shared" si="3"/>
        <v>0.17805882352941182</v>
      </c>
      <c r="G28" s="25">
        <f t="shared" si="4"/>
        <v>8.6623297993317416E-2</v>
      </c>
      <c r="H28" s="27">
        <f t="shared" si="5"/>
        <v>7.8716330249564911E-2</v>
      </c>
    </row>
    <row r="29" spans="1:8">
      <c r="A29" s="14">
        <v>500</v>
      </c>
      <c r="B29" s="18">
        <f t="shared" si="0"/>
        <v>34.009999999999991</v>
      </c>
      <c r="C29" s="12">
        <f t="shared" si="1"/>
        <v>41.59891911995917</v>
      </c>
      <c r="D29" s="19">
        <f t="shared" si="2"/>
        <v>38.293472708035026</v>
      </c>
      <c r="E29" s="24">
        <v>45</v>
      </c>
      <c r="F29" s="26">
        <f t="shared" si="3"/>
        <v>0.24422222222222242</v>
      </c>
      <c r="G29" s="25">
        <f t="shared" si="4"/>
        <v>7.5579575112018446E-2</v>
      </c>
      <c r="H29" s="27">
        <f t="shared" si="5"/>
        <v>0.14903393982144386</v>
      </c>
    </row>
    <row r="30" spans="1:8">
      <c r="A30" s="14">
        <v>490</v>
      </c>
      <c r="B30" s="18">
        <f t="shared" si="0"/>
        <v>37.555999999999983</v>
      </c>
      <c r="C30" s="12">
        <f t="shared" si="1"/>
        <v>43.233728796663705</v>
      </c>
      <c r="D30" s="19">
        <f t="shared" si="2"/>
        <v>40.256821037821332</v>
      </c>
      <c r="E30" s="24">
        <v>44</v>
      </c>
      <c r="F30" s="26">
        <f t="shared" si="3"/>
        <v>0.14645454545454584</v>
      </c>
      <c r="G30" s="25">
        <f t="shared" si="4"/>
        <v>1.7415254621279432E-2</v>
      </c>
      <c r="H30" s="27">
        <f t="shared" si="5"/>
        <v>8.5072249140424272E-2</v>
      </c>
    </row>
    <row r="31" spans="1:8">
      <c r="A31" s="14">
        <v>430</v>
      </c>
      <c r="B31" s="18">
        <f t="shared" si="0"/>
        <v>58.831999999999994</v>
      </c>
      <c r="C31" s="12">
        <f t="shared" si="1"/>
        <v>55.470106712335337</v>
      </c>
      <c r="D31" s="19">
        <f t="shared" si="2"/>
        <v>54.341024442914069</v>
      </c>
      <c r="E31" s="24">
        <v>58</v>
      </c>
      <c r="F31" s="26">
        <f t="shared" si="3"/>
        <v>1.4344827586206787E-2</v>
      </c>
      <c r="G31" s="25">
        <f t="shared" si="4"/>
        <v>4.3618849787321778E-2</v>
      </c>
      <c r="H31" s="27">
        <f t="shared" si="5"/>
        <v>6.3085785466998806E-2</v>
      </c>
    </row>
    <row r="32" spans="1:8" ht="15" thickBot="1">
      <c r="A32" s="14">
        <v>390</v>
      </c>
      <c r="B32" s="20">
        <f t="shared" si="0"/>
        <v>73.015999999999991</v>
      </c>
      <c r="C32" s="21">
        <f t="shared" si="1"/>
        <v>66.829089531318985</v>
      </c>
      <c r="D32" s="22">
        <f t="shared" si="2"/>
        <v>66.372277135824447</v>
      </c>
      <c r="E32" s="28">
        <v>68</v>
      </c>
      <c r="F32" s="29">
        <f t="shared" si="3"/>
        <v>7.3764705882352816E-2</v>
      </c>
      <c r="G32" s="30">
        <f t="shared" si="4"/>
        <v>1.7219271598250221E-2</v>
      </c>
      <c r="H32" s="31">
        <f t="shared" si="5"/>
        <v>2.393710094375813E-2</v>
      </c>
    </row>
    <row r="33" spans="1:12" ht="16" thickBot="1">
      <c r="E33" s="32" t="s">
        <v>18</v>
      </c>
      <c r="F33" s="33">
        <f>AVERAGE(F21:F32)</f>
        <v>9.6764585153975916E-2</v>
      </c>
      <c r="G33" s="34">
        <f>AVERAGE(G21:G32)</f>
        <v>5.8516741642875771E-2</v>
      </c>
      <c r="H33" s="33">
        <f>AVERAGE(H21:H32)</f>
        <v>7.17306196151654E-2</v>
      </c>
      <c r="I33" t="s">
        <v>19</v>
      </c>
    </row>
    <row r="35" spans="1:12">
      <c r="A35" t="s">
        <v>20</v>
      </c>
    </row>
    <row r="36" spans="1:12">
      <c r="A36" t="s">
        <v>21</v>
      </c>
      <c r="B36" s="35">
        <v>250</v>
      </c>
      <c r="C36" t="s">
        <v>22</v>
      </c>
    </row>
    <row r="37" spans="1:12">
      <c r="A37" t="s">
        <v>23</v>
      </c>
      <c r="B37" s="4">
        <v>400</v>
      </c>
      <c r="C37" t="s">
        <v>24</v>
      </c>
      <c r="H37" t="s">
        <v>2</v>
      </c>
      <c r="I37" t="s">
        <v>0</v>
      </c>
    </row>
    <row r="38" spans="1:12">
      <c r="A38" t="s">
        <v>3</v>
      </c>
      <c r="B38" s="36">
        <f>D16*B37^D17</f>
        <v>63.677550825641511</v>
      </c>
      <c r="C38" t="s">
        <v>25</v>
      </c>
      <c r="E38" t="str">
        <f ca="1">_xlfn.FORMULATEXT(B38)</f>
        <v>=D16*B37^D17</v>
      </c>
      <c r="I38" s="38">
        <f>B44</f>
        <v>955163.26238462282</v>
      </c>
    </row>
    <row r="39" spans="1:12">
      <c r="A39" t="s">
        <v>26</v>
      </c>
      <c r="B39" s="36">
        <f>B38*100</f>
        <v>6367.7550825641511</v>
      </c>
      <c r="E39" t="str">
        <f ca="1">_xlfn.FORMULATEXT(B39)</f>
        <v>=B38*100</v>
      </c>
      <c r="H39" s="40">
        <v>260</v>
      </c>
      <c r="I39" s="3">
        <f t="dataTable" ref="I39:I76" dt2D="0" dtr="0" r1="B37"/>
        <v>144859.72842847556</v>
      </c>
    </row>
    <row r="40" spans="1:12">
      <c r="H40" s="40">
        <v>270</v>
      </c>
      <c r="I40" s="3">
        <v>269590.60184817808</v>
      </c>
    </row>
    <row r="41" spans="1:12">
      <c r="H41" s="40">
        <v>280</v>
      </c>
      <c r="I41" s="3">
        <v>377277.18719872413</v>
      </c>
    </row>
    <row r="42" spans="1:12">
      <c r="A42" t="s">
        <v>27</v>
      </c>
      <c r="B42" s="37">
        <f>B39*B36</f>
        <v>1591938.7706410377</v>
      </c>
      <c r="E42" t="str">
        <f ca="1">_xlfn.FORMULATEXT(B42)</f>
        <v>=B39*B36</v>
      </c>
      <c r="H42" s="40">
        <v>290</v>
      </c>
      <c r="I42" s="3">
        <v>470458.61526328744</v>
      </c>
      <c r="K42" t="s">
        <v>29</v>
      </c>
      <c r="L42" t="s">
        <v>30</v>
      </c>
    </row>
    <row r="43" spans="1:12">
      <c r="A43" t="s">
        <v>28</v>
      </c>
      <c r="B43" s="2">
        <f>B37*B39</f>
        <v>2547102.0330256606</v>
      </c>
      <c r="E43" t="str">
        <f ca="1">_xlfn.FORMULATEXT(B43)</f>
        <v>=B37*B39</v>
      </c>
      <c r="H43" s="40">
        <v>300</v>
      </c>
      <c r="I43" s="3">
        <v>551238.40185229108</v>
      </c>
    </row>
    <row r="44" spans="1:12">
      <c r="A44" s="1" t="s">
        <v>0</v>
      </c>
      <c r="B44" s="39">
        <f>B43-B42</f>
        <v>955163.26238462282</v>
      </c>
      <c r="E44" t="str">
        <f ca="1">_xlfn.FORMULATEXT(B44)</f>
        <v>=B43-B42</v>
      </c>
      <c r="H44" s="40">
        <v>310</v>
      </c>
      <c r="I44" s="3">
        <v>621369.53021456813</v>
      </c>
    </row>
    <row r="45" spans="1:12">
      <c r="H45" s="40">
        <v>320</v>
      </c>
      <c r="I45" s="3">
        <v>682320.93416212313</v>
      </c>
    </row>
    <row r="46" spans="1:12">
      <c r="H46" s="40">
        <v>330</v>
      </c>
      <c r="I46" s="3">
        <v>735329.86392835062</v>
      </c>
    </row>
    <row r="47" spans="1:12">
      <c r="H47" s="40">
        <v>340</v>
      </c>
      <c r="I47" s="3">
        <v>781443.44106265297</v>
      </c>
    </row>
    <row r="48" spans="1:12">
      <c r="H48" s="40">
        <v>350</v>
      </c>
      <c r="I48" s="3">
        <v>821551.86522268457</v>
      </c>
    </row>
    <row r="49" spans="1:9">
      <c r="A49" t="s">
        <v>33</v>
      </c>
      <c r="H49" s="40">
        <v>360</v>
      </c>
      <c r="I49" s="3">
        <v>856415.12424477958</v>
      </c>
    </row>
    <row r="50" spans="1:9">
      <c r="A50" t="s">
        <v>34</v>
      </c>
      <c r="B50" s="36">
        <f>F16*EXP(F17*B37)</f>
        <v>63.135262982712192</v>
      </c>
      <c r="C50" t="str">
        <f ca="1">_xlfn.FORMULATEXT(B50)</f>
        <v>=F16*EXP(F17*B37)</v>
      </c>
      <c r="E50" t="s">
        <v>36</v>
      </c>
      <c r="H50" s="40">
        <v>370</v>
      </c>
      <c r="I50" s="3">
        <v>886684.61116254725</v>
      </c>
    </row>
    <row r="51" spans="1:9">
      <c r="A51" t="s">
        <v>16</v>
      </c>
      <c r="B51" s="36">
        <f>B50*100</f>
        <v>6313.5262982712193</v>
      </c>
      <c r="C51" t="str">
        <f ca="1">_xlfn.FORMULATEXT(B51)</f>
        <v>=B50*100</v>
      </c>
      <c r="H51" s="40">
        <v>380</v>
      </c>
      <c r="I51" s="3">
        <v>912920.72098907013</v>
      </c>
    </row>
    <row r="52" spans="1:9">
      <c r="A52" t="s">
        <v>35</v>
      </c>
      <c r="B52" s="35">
        <f>B51*B36</f>
        <v>1578381.5745678048</v>
      </c>
      <c r="C52" t="str">
        <f ca="1">_xlfn.FORMULATEXT(B52)</f>
        <v>=B51*B36</v>
      </c>
      <c r="H52" s="40">
        <v>390</v>
      </c>
      <c r="I52" s="3">
        <v>935607.253438466</v>
      </c>
    </row>
    <row r="53" spans="1:9">
      <c r="A53" t="s">
        <v>37</v>
      </c>
      <c r="B53" s="2">
        <f>B37*B51</f>
        <v>2525410.5193084879</v>
      </c>
      <c r="C53" t="str">
        <f ca="1">_xlfn.FORMULATEXT(B53)</f>
        <v>=B37*B51</v>
      </c>
      <c r="H53" s="40">
        <v>400</v>
      </c>
      <c r="I53" s="3">
        <v>955163.26238462282</v>
      </c>
    </row>
    <row r="54" spans="1:9">
      <c r="A54" s="1" t="s">
        <v>0</v>
      </c>
      <c r="B54" s="39">
        <f>B53-B52</f>
        <v>947028.94474068307</v>
      </c>
      <c r="C54" t="str">
        <f ca="1">_xlfn.FORMULATEXT(B54)</f>
        <v>=B53-B52</v>
      </c>
      <c r="H54" s="40">
        <v>410</v>
      </c>
      <c r="I54" s="3">
        <v>971952.85243747453</v>
      </c>
    </row>
    <row r="55" spans="1:9">
      <c r="H55" s="40">
        <v>420</v>
      </c>
      <c r="I55" s="3">
        <v>986293.31587235699</v>
      </c>
    </row>
    <row r="56" spans="1:9">
      <c r="B56" s="2">
        <f>B44-B54</f>
        <v>8134.3176439397503</v>
      </c>
      <c r="H56" s="40">
        <v>430</v>
      </c>
      <c r="I56" s="3">
        <v>998461.92082203622</v>
      </c>
    </row>
    <row r="57" spans="1:9">
      <c r="H57" s="40">
        <v>440</v>
      </c>
      <c r="I57" s="3">
        <v>1008701.5979665397</v>
      </c>
    </row>
    <row r="58" spans="1:9">
      <c r="H58" s="40">
        <v>450</v>
      </c>
      <c r="I58" s="3">
        <v>1017225.7233983984</v>
      </c>
    </row>
    <row r="59" spans="1:9">
      <c r="H59" s="40">
        <v>460</v>
      </c>
      <c r="I59" s="3">
        <v>1024222.1565401531</v>
      </c>
    </row>
    <row r="60" spans="1:9">
      <c r="H60" s="40">
        <v>470</v>
      </c>
      <c r="I60" s="3">
        <v>1029856.6614397548</v>
      </c>
    </row>
    <row r="61" spans="1:9">
      <c r="H61" s="40">
        <v>480</v>
      </c>
      <c r="I61" s="3">
        <v>1034275.8155834542</v>
      </c>
    </row>
    <row r="62" spans="1:9">
      <c r="H62" s="40">
        <v>490</v>
      </c>
      <c r="I62" s="3">
        <v>1037609.4911199291</v>
      </c>
    </row>
    <row r="63" spans="1:9">
      <c r="H63" s="40">
        <v>500</v>
      </c>
      <c r="I63" s="3">
        <v>1039972.9779989794</v>
      </c>
    </row>
    <row r="64" spans="1:9">
      <c r="H64" s="40">
        <v>510</v>
      </c>
      <c r="I64" s="3">
        <v>1041468.8061629091</v>
      </c>
    </row>
    <row r="65" spans="5:18">
      <c r="H65" s="40">
        <v>520</v>
      </c>
      <c r="I65" s="41">
        <v>1042188.3139489595</v>
      </c>
    </row>
    <row r="66" spans="5:18">
      <c r="H66" s="40">
        <v>530</v>
      </c>
      <c r="I66" s="3">
        <v>1042213.0017719698</v>
      </c>
    </row>
    <row r="67" spans="5:18">
      <c r="H67" s="40">
        <v>540</v>
      </c>
      <c r="I67" s="3">
        <v>1041615.7035724644</v>
      </c>
    </row>
    <row r="68" spans="5:18">
      <c r="H68" s="40">
        <v>550</v>
      </c>
      <c r="I68" s="3">
        <v>1040461.6031350964</v>
      </c>
    </row>
    <row r="69" spans="5:18">
      <c r="H69" s="40">
        <v>560</v>
      </c>
      <c r="I69" s="3">
        <v>1038809.1179690239</v>
      </c>
    </row>
    <row r="70" spans="5:18">
      <c r="H70" s="40">
        <v>570</v>
      </c>
      <c r="I70" s="3">
        <v>1036710.669808225</v>
      </c>
    </row>
    <row r="71" spans="5:18">
      <c r="H71" s="40">
        <v>580</v>
      </c>
      <c r="I71" s="3">
        <v>1034213.3577876764</v>
      </c>
    </row>
    <row r="72" spans="5:18">
      <c r="H72" s="40">
        <v>590</v>
      </c>
      <c r="I72" s="3">
        <v>1031359.5478624469</v>
      </c>
    </row>
    <row r="73" spans="5:18">
      <c r="H73" s="40">
        <v>600</v>
      </c>
      <c r="I73" s="3">
        <v>1028187.3899667513</v>
      </c>
    </row>
    <row r="74" spans="5:18">
      <c r="H74" s="40">
        <v>800</v>
      </c>
      <c r="I74" s="2">
        <v>933219.50848926988</v>
      </c>
    </row>
    <row r="75" spans="5:18">
      <c r="H75" s="40">
        <v>900</v>
      </c>
      <c r="I75" s="2">
        <v>880917.95766693447</v>
      </c>
    </row>
    <row r="76" spans="5:18">
      <c r="H76" s="40">
        <v>1000</v>
      </c>
      <c r="I76" s="2">
        <v>831338.85314930137</v>
      </c>
    </row>
    <row r="77" spans="5:18">
      <c r="G77" s="47" t="s">
        <v>32</v>
      </c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</row>
    <row r="78" spans="5:18">
      <c r="F78" s="42">
        <f>B44</f>
        <v>955163.26238462282</v>
      </c>
      <c r="G78" s="7">
        <v>250</v>
      </c>
      <c r="H78" s="43">
        <v>300</v>
      </c>
      <c r="I78" s="7">
        <v>350</v>
      </c>
      <c r="J78" s="43">
        <v>400</v>
      </c>
      <c r="K78" s="7">
        <v>450</v>
      </c>
      <c r="L78" s="43">
        <v>500</v>
      </c>
      <c r="M78" s="7">
        <v>550</v>
      </c>
      <c r="N78" s="43">
        <v>600</v>
      </c>
      <c r="O78" s="7">
        <v>650</v>
      </c>
      <c r="P78" s="43">
        <v>700</v>
      </c>
      <c r="Q78" s="7">
        <v>750</v>
      </c>
      <c r="R78" s="43">
        <v>800</v>
      </c>
    </row>
    <row r="79" spans="5:18">
      <c r="E79" s="48" t="s">
        <v>31</v>
      </c>
      <c r="F79" s="44">
        <v>260</v>
      </c>
      <c r="G79" s="6">
        <f t="dataTable" ref="G79:R116" dt2D="1" dtr="1" r1="B36" r2="B37" ca="1"/>
        <v>144859.72842847556</v>
      </c>
      <c r="H79" s="6">
        <v>-579438.91371390224</v>
      </c>
      <c r="I79" s="6">
        <v>-1303737.5558562791</v>
      </c>
      <c r="J79" s="6">
        <v>-2028036.1979986569</v>
      </c>
      <c r="K79" s="6">
        <v>-2752334.8401410338</v>
      </c>
      <c r="L79" s="6">
        <v>-3476633.4822834115</v>
      </c>
      <c r="M79" s="6">
        <v>-4200932.1244257884</v>
      </c>
      <c r="N79" s="6">
        <v>-4925230.7665681671</v>
      </c>
      <c r="O79" s="6">
        <v>-5649529.4087105431</v>
      </c>
      <c r="P79" s="6">
        <v>-6373828.0508529209</v>
      </c>
      <c r="Q79" s="6">
        <v>-7098126.6929952987</v>
      </c>
      <c r="R79" s="6">
        <v>-7822425.3351376764</v>
      </c>
    </row>
    <row r="80" spans="5:18">
      <c r="E80" s="48"/>
      <c r="F80" s="44">
        <v>270</v>
      </c>
      <c r="G80" s="6">
        <v>269590.60184817808</v>
      </c>
      <c r="H80" s="6">
        <v>-404385.90277226688</v>
      </c>
      <c r="I80" s="6">
        <v>-1078362.4073927123</v>
      </c>
      <c r="J80" s="6">
        <v>-1752338.9120131573</v>
      </c>
      <c r="K80" s="6">
        <v>-2426315.4166336022</v>
      </c>
      <c r="L80" s="6">
        <v>-3100291.9212540481</v>
      </c>
      <c r="M80" s="6">
        <v>-3774268.4258744931</v>
      </c>
      <c r="N80" s="6">
        <v>-4448244.930494938</v>
      </c>
      <c r="O80" s="6">
        <v>-5122221.435115383</v>
      </c>
      <c r="P80" s="6">
        <v>-5796197.9397358289</v>
      </c>
      <c r="Q80" s="6">
        <v>-6470174.4443562748</v>
      </c>
      <c r="R80" s="6">
        <v>-7144150.9489767188</v>
      </c>
    </row>
    <row r="81" spans="5:18">
      <c r="E81" s="48"/>
      <c r="F81" s="44">
        <v>280</v>
      </c>
      <c r="G81" s="6">
        <v>377277.18719872413</v>
      </c>
      <c r="H81" s="6">
        <v>-251518.12479914958</v>
      </c>
      <c r="I81" s="6">
        <v>-880313.43679702282</v>
      </c>
      <c r="J81" s="6">
        <v>-1509108.7487948965</v>
      </c>
      <c r="K81" s="6">
        <v>-2137904.0607927702</v>
      </c>
      <c r="L81" s="6">
        <v>-2766699.3727906439</v>
      </c>
      <c r="M81" s="6">
        <v>-3395494.6847885177</v>
      </c>
      <c r="N81" s="6">
        <v>-4024289.9967863914</v>
      </c>
      <c r="O81" s="6">
        <v>-4653085.3087842651</v>
      </c>
      <c r="P81" s="6">
        <v>-5281880.6207821378</v>
      </c>
      <c r="Q81" s="6">
        <v>-5910675.9327800116</v>
      </c>
      <c r="R81" s="6">
        <v>-6539471.2447778853</v>
      </c>
    </row>
    <row r="82" spans="5:18">
      <c r="E82" s="48"/>
      <c r="F82" s="44">
        <v>290</v>
      </c>
      <c r="G82" s="6">
        <v>470458.61526328744</v>
      </c>
      <c r="H82" s="6">
        <v>-117614.65381582174</v>
      </c>
      <c r="I82" s="6">
        <v>-705687.9228949314</v>
      </c>
      <c r="J82" s="6">
        <v>-1293761.1919740411</v>
      </c>
      <c r="K82" s="6">
        <v>-1881834.4610531498</v>
      </c>
      <c r="L82" s="6">
        <v>-2469907.7301322594</v>
      </c>
      <c r="M82" s="6">
        <v>-3057980.9992113691</v>
      </c>
      <c r="N82" s="6">
        <v>-3646054.2682904778</v>
      </c>
      <c r="O82" s="6">
        <v>-4234127.5373695875</v>
      </c>
      <c r="P82" s="6">
        <v>-4822200.8064486971</v>
      </c>
      <c r="Q82" s="6">
        <v>-5410274.0755278068</v>
      </c>
      <c r="R82" s="6">
        <v>-5998347.3446069164</v>
      </c>
    </row>
    <row r="83" spans="5:18">
      <c r="E83" s="48"/>
      <c r="F83" s="44">
        <v>300</v>
      </c>
      <c r="G83" s="6">
        <v>551238.40185229108</v>
      </c>
      <c r="H83" s="6">
        <v>0</v>
      </c>
      <c r="I83" s="6">
        <v>-551238.40185229108</v>
      </c>
      <c r="J83" s="6">
        <v>-1102476.8037045817</v>
      </c>
      <c r="K83" s="6">
        <v>-1653715.2055568728</v>
      </c>
      <c r="L83" s="6">
        <v>-2204953.6074091638</v>
      </c>
      <c r="M83" s="6">
        <v>-2756192.0092614549</v>
      </c>
      <c r="N83" s="6">
        <v>-3307430.411113746</v>
      </c>
      <c r="O83" s="6">
        <v>-3858668.8129660371</v>
      </c>
      <c r="P83" s="6">
        <v>-4409907.2148183286</v>
      </c>
      <c r="Q83" s="6">
        <v>-4961145.6166706197</v>
      </c>
      <c r="R83" s="6">
        <v>-5512384.0185229089</v>
      </c>
    </row>
    <row r="84" spans="5:18">
      <c r="E84" s="48"/>
      <c r="F84" s="44">
        <v>310</v>
      </c>
      <c r="G84" s="6">
        <v>621369.53021456813</v>
      </c>
      <c r="H84" s="6">
        <v>103561.58836909477</v>
      </c>
      <c r="I84" s="6">
        <v>-414246.3534763786</v>
      </c>
      <c r="J84" s="6">
        <v>-932054.2953218515</v>
      </c>
      <c r="K84" s="6">
        <v>-1449862.2371673249</v>
      </c>
      <c r="L84" s="6">
        <v>-1967670.1790127978</v>
      </c>
      <c r="M84" s="6">
        <v>-2485478.1208582716</v>
      </c>
      <c r="N84" s="6">
        <v>-3003286.0627037445</v>
      </c>
      <c r="O84" s="6">
        <v>-3521094.0045492174</v>
      </c>
      <c r="P84" s="6">
        <v>-4038901.9463946912</v>
      </c>
      <c r="Q84" s="6">
        <v>-4556709.8882401641</v>
      </c>
      <c r="R84" s="6">
        <v>-5074517.830085637</v>
      </c>
    </row>
    <row r="85" spans="5:18">
      <c r="E85" s="48"/>
      <c r="F85" s="44">
        <v>320</v>
      </c>
      <c r="G85" s="6">
        <v>682320.93416212313</v>
      </c>
      <c r="H85" s="6">
        <v>194948.83833203511</v>
      </c>
      <c r="I85" s="6">
        <v>-292423.2574980529</v>
      </c>
      <c r="J85" s="6">
        <v>-779795.35332814092</v>
      </c>
      <c r="K85" s="6">
        <v>-1267167.4491582289</v>
      </c>
      <c r="L85" s="6">
        <v>-1754539.5449883174</v>
      </c>
      <c r="M85" s="6">
        <v>-2241911.640818405</v>
      </c>
      <c r="N85" s="6">
        <v>-2729283.7366484934</v>
      </c>
      <c r="O85" s="6">
        <v>-3216655.832478581</v>
      </c>
      <c r="P85" s="6">
        <v>-3704027.9283086695</v>
      </c>
      <c r="Q85" s="6">
        <v>-4191400.024138757</v>
      </c>
      <c r="R85" s="6">
        <v>-4678772.1199688455</v>
      </c>
    </row>
    <row r="86" spans="5:18">
      <c r="E86" s="48"/>
      <c r="F86" s="44">
        <v>330</v>
      </c>
      <c r="G86" s="6">
        <v>735329.86392835062</v>
      </c>
      <c r="H86" s="6">
        <v>275748.69897313137</v>
      </c>
      <c r="I86" s="6">
        <v>-183832.46598208742</v>
      </c>
      <c r="J86" s="6">
        <v>-643413.63093730668</v>
      </c>
      <c r="K86" s="6">
        <v>-1102994.7958925259</v>
      </c>
      <c r="L86" s="6">
        <v>-1562575.9608477447</v>
      </c>
      <c r="M86" s="6">
        <v>-2022157.125802964</v>
      </c>
      <c r="N86" s="6">
        <v>-2481738.2907581832</v>
      </c>
      <c r="O86" s="6">
        <v>-2941319.4557134025</v>
      </c>
      <c r="P86" s="6">
        <v>-3400900.6206686208</v>
      </c>
      <c r="Q86" s="6">
        <v>-3860481.7856238401</v>
      </c>
      <c r="R86" s="6">
        <v>-4320062.9505790593</v>
      </c>
    </row>
    <row r="87" spans="5:18">
      <c r="E87" s="48"/>
      <c r="F87" s="44">
        <v>340</v>
      </c>
      <c r="G87" s="6">
        <v>781443.44106265297</v>
      </c>
      <c r="H87" s="6">
        <v>347308.19602784561</v>
      </c>
      <c r="I87" s="6">
        <v>-86827.049006961286</v>
      </c>
      <c r="J87" s="6">
        <v>-520962.29404176865</v>
      </c>
      <c r="K87" s="6">
        <v>-955097.53907657554</v>
      </c>
      <c r="L87" s="6">
        <v>-1389232.7841113824</v>
      </c>
      <c r="M87" s="6">
        <v>-1823368.0291461898</v>
      </c>
      <c r="N87" s="6">
        <v>-2257503.2741809972</v>
      </c>
      <c r="O87" s="6">
        <v>-2691638.5192158045</v>
      </c>
      <c r="P87" s="6">
        <v>-3125773.764250611</v>
      </c>
      <c r="Q87" s="6">
        <v>-3559909.0092854183</v>
      </c>
      <c r="R87" s="6">
        <v>-3994044.2543202257</v>
      </c>
    </row>
    <row r="88" spans="5:18">
      <c r="E88" s="48"/>
      <c r="F88" s="44">
        <v>350</v>
      </c>
      <c r="G88" s="6">
        <v>821551.86522268457</v>
      </c>
      <c r="H88" s="6">
        <v>410775.93261134205</v>
      </c>
      <c r="I88" s="6">
        <v>0</v>
      </c>
      <c r="J88" s="6">
        <v>-410775.93261134205</v>
      </c>
      <c r="K88" s="6">
        <v>-821551.86522268457</v>
      </c>
      <c r="L88" s="6">
        <v>-1232327.7978340266</v>
      </c>
      <c r="M88" s="6">
        <v>-1643103.7304453691</v>
      </c>
      <c r="N88" s="6">
        <v>-2053879.6630567117</v>
      </c>
      <c r="O88" s="6">
        <v>-2464655.5956680533</v>
      </c>
      <c r="P88" s="6">
        <v>-2875431.5282793958</v>
      </c>
      <c r="Q88" s="6">
        <v>-3286207.4608907383</v>
      </c>
      <c r="R88" s="6">
        <v>-3696983.3935020799</v>
      </c>
    </row>
    <row r="89" spans="5:18">
      <c r="E89" s="48"/>
      <c r="F89" s="44">
        <v>360</v>
      </c>
      <c r="G89" s="6">
        <v>856415.12424477958</v>
      </c>
      <c r="H89" s="6">
        <v>467135.52231533453</v>
      </c>
      <c r="I89" s="6">
        <v>77855.920385889243</v>
      </c>
      <c r="J89" s="6">
        <v>-311423.68154355604</v>
      </c>
      <c r="K89" s="6">
        <v>-700703.28347300133</v>
      </c>
      <c r="L89" s="6">
        <v>-1089982.8854024466</v>
      </c>
      <c r="M89" s="6">
        <v>-1479262.4873318919</v>
      </c>
      <c r="N89" s="6">
        <v>-1868542.0892613367</v>
      </c>
      <c r="O89" s="6">
        <v>-2257821.6911907825</v>
      </c>
      <c r="P89" s="6">
        <v>-2647101.2931202273</v>
      </c>
      <c r="Q89" s="6">
        <v>-3036380.895049673</v>
      </c>
      <c r="R89" s="6">
        <v>-3425660.4969791179</v>
      </c>
    </row>
    <row r="90" spans="5:18">
      <c r="E90" s="48"/>
      <c r="F90" s="44">
        <v>370</v>
      </c>
      <c r="G90" s="6">
        <v>886684.61116254725</v>
      </c>
      <c r="H90" s="6">
        <v>517232.68984481925</v>
      </c>
      <c r="I90" s="6">
        <v>147780.76852709148</v>
      </c>
      <c r="J90" s="6">
        <v>-221671.15279063676</v>
      </c>
      <c r="K90" s="6">
        <v>-591123.07410836453</v>
      </c>
      <c r="L90" s="6">
        <v>-960574.9954260923</v>
      </c>
      <c r="M90" s="6">
        <v>-1330026.9167438205</v>
      </c>
      <c r="N90" s="6">
        <v>-1699478.8380615483</v>
      </c>
      <c r="O90" s="6">
        <v>-2068930.7593792765</v>
      </c>
      <c r="P90" s="6">
        <v>-2438382.6806970038</v>
      </c>
      <c r="Q90" s="6">
        <v>-2807834.6020147321</v>
      </c>
      <c r="R90" s="6">
        <v>-3177286.5233324603</v>
      </c>
    </row>
    <row r="91" spans="5:18">
      <c r="E91" s="48"/>
      <c r="F91" s="44">
        <v>380</v>
      </c>
      <c r="G91" s="6">
        <v>912920.72098907013</v>
      </c>
      <c r="H91" s="6">
        <v>561797.36676250491</v>
      </c>
      <c r="I91" s="6">
        <v>210674.01253593946</v>
      </c>
      <c r="J91" s="6">
        <v>-140449.341690626</v>
      </c>
      <c r="K91" s="6">
        <v>-491572.69591719145</v>
      </c>
      <c r="L91" s="6">
        <v>-842696.05014375644</v>
      </c>
      <c r="M91" s="6">
        <v>-1193819.4043703219</v>
      </c>
      <c r="N91" s="6">
        <v>-1544942.7585968869</v>
      </c>
      <c r="O91" s="6">
        <v>-1896066.1128234528</v>
      </c>
      <c r="P91" s="6">
        <v>-2247189.4670500178</v>
      </c>
      <c r="Q91" s="6">
        <v>-2598312.8212765837</v>
      </c>
      <c r="R91" s="6">
        <v>-2949436.1755031487</v>
      </c>
    </row>
    <row r="92" spans="5:18">
      <c r="E92" s="48"/>
      <c r="F92" s="44">
        <v>390</v>
      </c>
      <c r="G92" s="6">
        <v>935607.253438466</v>
      </c>
      <c r="H92" s="6">
        <v>601461.80578187108</v>
      </c>
      <c r="I92" s="6">
        <v>267316.35812527593</v>
      </c>
      <c r="J92" s="6">
        <v>-66829.08953131875</v>
      </c>
      <c r="K92" s="6">
        <v>-400974.5371879139</v>
      </c>
      <c r="L92" s="6">
        <v>-735119.98484450858</v>
      </c>
      <c r="M92" s="6">
        <v>-1069265.4325011037</v>
      </c>
      <c r="N92" s="6">
        <v>-1403410.8801576984</v>
      </c>
      <c r="O92" s="6">
        <v>-1737556.3278142936</v>
      </c>
      <c r="P92" s="6">
        <v>-2071701.7754708887</v>
      </c>
      <c r="Q92" s="6">
        <v>-2405847.2231274839</v>
      </c>
      <c r="R92" s="6">
        <v>-2739992.6707840781</v>
      </c>
    </row>
    <row r="93" spans="5:18">
      <c r="E93" s="48"/>
      <c r="F93" s="44">
        <v>400</v>
      </c>
      <c r="G93" s="6">
        <v>955163.26238462282</v>
      </c>
      <c r="H93" s="6">
        <v>636775.50825641514</v>
      </c>
      <c r="I93" s="6">
        <v>318387.75412820745</v>
      </c>
      <c r="J93" s="6">
        <v>0</v>
      </c>
      <c r="K93" s="6">
        <v>-318387.75412820745</v>
      </c>
      <c r="L93" s="6">
        <v>-636775.50825641491</v>
      </c>
      <c r="M93" s="6">
        <v>-955163.26238462236</v>
      </c>
      <c r="N93" s="6">
        <v>-1273551.0165128303</v>
      </c>
      <c r="O93" s="6">
        <v>-1591938.7706410377</v>
      </c>
      <c r="P93" s="6">
        <v>-1910326.5247692456</v>
      </c>
      <c r="Q93" s="6">
        <v>-2228714.2788974531</v>
      </c>
      <c r="R93" s="6">
        <v>-2547102.0330256606</v>
      </c>
    </row>
    <row r="94" spans="5:18">
      <c r="E94" s="48"/>
      <c r="F94" s="44">
        <v>410</v>
      </c>
      <c r="G94" s="6">
        <v>971952.85243747453</v>
      </c>
      <c r="H94" s="6">
        <v>668217.58605076349</v>
      </c>
      <c r="I94" s="6">
        <v>364482.31966405269</v>
      </c>
      <c r="J94" s="6">
        <v>60747.053277342115</v>
      </c>
      <c r="K94" s="6">
        <v>-242988.21310936892</v>
      </c>
      <c r="L94" s="6">
        <v>-546723.4794960795</v>
      </c>
      <c r="M94" s="6">
        <v>-850458.74588279054</v>
      </c>
      <c r="N94" s="6">
        <v>-1154194.0122695016</v>
      </c>
      <c r="O94" s="6">
        <v>-1457929.2786562121</v>
      </c>
      <c r="P94" s="6">
        <v>-1761664.5450429232</v>
      </c>
      <c r="Q94" s="6">
        <v>-2065399.8114296342</v>
      </c>
      <c r="R94" s="6">
        <v>-2369135.0778163443</v>
      </c>
    </row>
    <row r="95" spans="5:18">
      <c r="E95" s="48"/>
      <c r="F95" s="44">
        <v>420</v>
      </c>
      <c r="G95" s="6">
        <v>986293.31587235699</v>
      </c>
      <c r="H95" s="6">
        <v>696207.04649813427</v>
      </c>
      <c r="I95" s="6">
        <v>406120.77712391177</v>
      </c>
      <c r="J95" s="6">
        <v>116034.50774968928</v>
      </c>
      <c r="K95" s="6">
        <v>-174051.76162453368</v>
      </c>
      <c r="L95" s="6">
        <v>-464138.03099875618</v>
      </c>
      <c r="M95" s="6">
        <v>-754224.30037297867</v>
      </c>
      <c r="N95" s="6">
        <v>-1044310.5697472016</v>
      </c>
      <c r="O95" s="6">
        <v>-1334396.8391214241</v>
      </c>
      <c r="P95" s="6">
        <v>-1624483.1084956466</v>
      </c>
      <c r="Q95" s="6">
        <v>-1914569.3778698691</v>
      </c>
      <c r="R95" s="6">
        <v>-2204655.6472440916</v>
      </c>
    </row>
    <row r="96" spans="5:18">
      <c r="E96" s="48"/>
      <c r="F96" s="44">
        <v>430</v>
      </c>
      <c r="G96" s="6">
        <v>998461.92082203622</v>
      </c>
      <c r="H96" s="6">
        <v>721111.38726035948</v>
      </c>
      <c r="I96" s="6">
        <v>443760.85369868297</v>
      </c>
      <c r="J96" s="6">
        <v>166410.32013700623</v>
      </c>
      <c r="K96" s="6">
        <v>-110940.21342467051</v>
      </c>
      <c r="L96" s="6">
        <v>-388290.74698634725</v>
      </c>
      <c r="M96" s="6">
        <v>-665641.28054802399</v>
      </c>
      <c r="N96" s="6">
        <v>-942991.81410970073</v>
      </c>
      <c r="O96" s="6">
        <v>-1220342.347671377</v>
      </c>
      <c r="P96" s="6">
        <v>-1497692.8812330537</v>
      </c>
      <c r="Q96" s="6">
        <v>-1775043.4147947305</v>
      </c>
      <c r="R96" s="6">
        <v>-2052393.9483564072</v>
      </c>
    </row>
    <row r="97" spans="5:18">
      <c r="E97" s="48"/>
      <c r="F97" s="44">
        <v>440</v>
      </c>
      <c r="G97" s="6">
        <v>1008701.5979665397</v>
      </c>
      <c r="H97" s="6">
        <v>743253.80902797659</v>
      </c>
      <c r="I97" s="6">
        <v>477806.02008941351</v>
      </c>
      <c r="J97" s="6">
        <v>212358.23115085065</v>
      </c>
      <c r="K97" s="6">
        <v>-53089.557787712663</v>
      </c>
      <c r="L97" s="6">
        <v>-318537.34672627551</v>
      </c>
      <c r="M97" s="6">
        <v>-583985.13566483883</v>
      </c>
      <c r="N97" s="6">
        <v>-849432.92460340168</v>
      </c>
      <c r="O97" s="6">
        <v>-1114880.713541965</v>
      </c>
      <c r="P97" s="6">
        <v>-1380328.5024805279</v>
      </c>
      <c r="Q97" s="6">
        <v>-1645776.2914190912</v>
      </c>
      <c r="R97" s="6">
        <v>-1911224.0803576536</v>
      </c>
    </row>
    <row r="98" spans="5:18">
      <c r="E98" s="48"/>
      <c r="F98" s="44">
        <v>450</v>
      </c>
      <c r="G98" s="6">
        <v>1017225.7233983984</v>
      </c>
      <c r="H98" s="6">
        <v>762919.29254879872</v>
      </c>
      <c r="I98" s="6">
        <v>508612.86169919907</v>
      </c>
      <c r="J98" s="6">
        <v>254306.43084959942</v>
      </c>
      <c r="K98" s="6">
        <v>0</v>
      </c>
      <c r="L98" s="6">
        <v>-254306.43084959965</v>
      </c>
      <c r="M98" s="6">
        <v>-508612.8616991993</v>
      </c>
      <c r="N98" s="6">
        <v>-762919.29254879896</v>
      </c>
      <c r="O98" s="6">
        <v>-1017225.7233983986</v>
      </c>
      <c r="P98" s="6">
        <v>-1271532.1542479983</v>
      </c>
      <c r="Q98" s="6">
        <v>-1525838.5850975979</v>
      </c>
      <c r="R98" s="6">
        <v>-1780145.0159471976</v>
      </c>
    </row>
    <row r="99" spans="5:18">
      <c r="E99" s="48"/>
      <c r="F99" s="44">
        <v>460</v>
      </c>
      <c r="G99" s="6">
        <v>1024222.1565401531</v>
      </c>
      <c r="H99" s="6">
        <v>780359.73831630708</v>
      </c>
      <c r="I99" s="6">
        <v>536497.3200924613</v>
      </c>
      <c r="J99" s="6">
        <v>292634.9018686153</v>
      </c>
      <c r="K99" s="6">
        <v>48772.483644769527</v>
      </c>
      <c r="L99" s="6">
        <v>-195089.93457907671</v>
      </c>
      <c r="M99" s="6">
        <v>-438952.35280292248</v>
      </c>
      <c r="N99" s="6">
        <v>-682814.77102676872</v>
      </c>
      <c r="O99" s="6">
        <v>-926677.18925061449</v>
      </c>
      <c r="P99" s="6">
        <v>-1170539.6074744603</v>
      </c>
      <c r="Q99" s="6">
        <v>-1414402.0256983065</v>
      </c>
      <c r="R99" s="6">
        <v>-1658264.4439221523</v>
      </c>
    </row>
    <row r="100" spans="5:18">
      <c r="E100" s="48"/>
      <c r="F100" s="44">
        <v>470</v>
      </c>
      <c r="G100" s="6">
        <v>1029856.6614397548</v>
      </c>
      <c r="H100" s="6">
        <v>795798.32929435605</v>
      </c>
      <c r="I100" s="6">
        <v>561739.9971489571</v>
      </c>
      <c r="J100" s="6">
        <v>327681.66500355839</v>
      </c>
      <c r="K100" s="6">
        <v>93623.332858159672</v>
      </c>
      <c r="L100" s="6">
        <v>-140434.99928723928</v>
      </c>
      <c r="M100" s="6">
        <v>-374493.33143263776</v>
      </c>
      <c r="N100" s="6">
        <v>-608551.66357803671</v>
      </c>
      <c r="O100" s="6">
        <v>-842609.99572343566</v>
      </c>
      <c r="P100" s="6">
        <v>-1076668.3278688346</v>
      </c>
      <c r="Q100" s="6">
        <v>-1310726.6600142331</v>
      </c>
      <c r="R100" s="6">
        <v>-1544784.992159632</v>
      </c>
    </row>
    <row r="101" spans="5:18">
      <c r="E101" s="48"/>
      <c r="F101" s="44">
        <v>480</v>
      </c>
      <c r="G101" s="6">
        <v>1034275.8155834542</v>
      </c>
      <c r="H101" s="6">
        <v>809433.24697835557</v>
      </c>
      <c r="I101" s="6">
        <v>584590.67837325693</v>
      </c>
      <c r="J101" s="6">
        <v>359748.10976815806</v>
      </c>
      <c r="K101" s="6">
        <v>134905.54116305942</v>
      </c>
      <c r="L101" s="6">
        <v>-89937.027442039456</v>
      </c>
      <c r="M101" s="6">
        <v>-314779.59604713786</v>
      </c>
      <c r="N101" s="6">
        <v>-539622.16465223674</v>
      </c>
      <c r="O101" s="6">
        <v>-764464.73325733561</v>
      </c>
      <c r="P101" s="6">
        <v>-989307.30186243402</v>
      </c>
      <c r="Q101" s="6">
        <v>-1214149.8704675329</v>
      </c>
      <c r="R101" s="6">
        <v>-1438992.4390726318</v>
      </c>
    </row>
    <row r="102" spans="5:18">
      <c r="E102" s="48"/>
      <c r="F102" s="44">
        <v>490</v>
      </c>
      <c r="G102" s="6">
        <v>1037609.4911199291</v>
      </c>
      <c r="H102" s="6">
        <v>821440.84713661065</v>
      </c>
      <c r="I102" s="6">
        <v>605272.20315329218</v>
      </c>
      <c r="J102" s="6">
        <v>389103.55916997371</v>
      </c>
      <c r="K102" s="6">
        <v>172934.91518665501</v>
      </c>
      <c r="L102" s="6">
        <v>-43233.728796663694</v>
      </c>
      <c r="M102" s="6">
        <v>-259402.37277998216</v>
      </c>
      <c r="N102" s="6">
        <v>-475571.01676330063</v>
      </c>
      <c r="O102" s="6">
        <v>-691739.66074661911</v>
      </c>
      <c r="P102" s="6">
        <v>-907908.30472993758</v>
      </c>
      <c r="Q102" s="6">
        <v>-1124076.948713256</v>
      </c>
      <c r="R102" s="6">
        <v>-1340245.5926965745</v>
      </c>
    </row>
    <row r="103" spans="5:18">
      <c r="E103" s="48"/>
      <c r="F103" s="44">
        <v>500</v>
      </c>
      <c r="G103" s="6">
        <v>1039972.9779989794</v>
      </c>
      <c r="H103" s="6">
        <v>831978.3823991837</v>
      </c>
      <c r="I103" s="6">
        <v>623983.78679938777</v>
      </c>
      <c r="J103" s="6">
        <v>415989.19119959185</v>
      </c>
      <c r="K103" s="6">
        <v>207994.59559979592</v>
      </c>
      <c r="L103" s="6">
        <v>0</v>
      </c>
      <c r="M103" s="6">
        <v>-207994.59559979569</v>
      </c>
      <c r="N103" s="6">
        <v>-415989.19119959138</v>
      </c>
      <c r="O103" s="6">
        <v>-623983.78679938754</v>
      </c>
      <c r="P103" s="6">
        <v>-831978.38239918323</v>
      </c>
      <c r="Q103" s="6">
        <v>-1039972.9779989794</v>
      </c>
      <c r="R103" s="6">
        <v>-1247967.5735987751</v>
      </c>
    </row>
    <row r="104" spans="5:18">
      <c r="E104" s="48"/>
      <c r="F104" s="44">
        <v>510</v>
      </c>
      <c r="G104" s="6">
        <v>1041468.8061629091</v>
      </c>
      <c r="H104" s="6">
        <v>841186.34343927284</v>
      </c>
      <c r="I104" s="6">
        <v>640903.8807156363</v>
      </c>
      <c r="J104" s="6">
        <v>440621.417992</v>
      </c>
      <c r="K104" s="6">
        <v>240338.9552683637</v>
      </c>
      <c r="L104" s="6">
        <v>40056.4925447274</v>
      </c>
      <c r="M104" s="6">
        <v>-160225.97017890913</v>
      </c>
      <c r="N104" s="6">
        <v>-360508.4329025452</v>
      </c>
      <c r="O104" s="6">
        <v>-560790.89562618174</v>
      </c>
      <c r="P104" s="6">
        <v>-761073.35834981827</v>
      </c>
      <c r="Q104" s="6">
        <v>-961355.82107345434</v>
      </c>
      <c r="R104" s="6">
        <v>-1161638.2837970909</v>
      </c>
    </row>
    <row r="105" spans="5:18">
      <c r="E105" s="48"/>
      <c r="F105" s="44">
        <v>520</v>
      </c>
      <c r="G105" s="6">
        <v>1042188.3139489595</v>
      </c>
      <c r="H105" s="6">
        <v>849190.47803248558</v>
      </c>
      <c r="I105" s="6">
        <v>656192.64211601159</v>
      </c>
      <c r="J105" s="6">
        <v>463194.80619953759</v>
      </c>
      <c r="K105" s="6">
        <v>270196.97028306359</v>
      </c>
      <c r="L105" s="6">
        <v>77199.134366589598</v>
      </c>
      <c r="M105" s="6">
        <v>-115798.70154988416</v>
      </c>
      <c r="N105" s="6">
        <v>-308796.53746635816</v>
      </c>
      <c r="O105" s="6">
        <v>-501794.37338283216</v>
      </c>
      <c r="P105" s="6">
        <v>-694792.20929930615</v>
      </c>
      <c r="Q105" s="6">
        <v>-887790.04521578015</v>
      </c>
      <c r="R105" s="6">
        <v>-1080787.8811322541</v>
      </c>
    </row>
    <row r="106" spans="5:18">
      <c r="E106" s="48"/>
      <c r="F106" s="44">
        <v>530</v>
      </c>
      <c r="G106" s="6">
        <v>1042213.0017719698</v>
      </c>
      <c r="H106" s="6">
        <v>856103.53716983227</v>
      </c>
      <c r="I106" s="6">
        <v>669994.07256769482</v>
      </c>
      <c r="J106" s="6">
        <v>483884.60796555737</v>
      </c>
      <c r="K106" s="6">
        <v>297775.14336341992</v>
      </c>
      <c r="L106" s="6">
        <v>111665.67876128247</v>
      </c>
      <c r="M106" s="6">
        <v>-74443.78584085498</v>
      </c>
      <c r="N106" s="6">
        <v>-260553.25044299266</v>
      </c>
      <c r="O106" s="6">
        <v>-446662.71504513011</v>
      </c>
      <c r="P106" s="6">
        <v>-632772.17964726756</v>
      </c>
      <c r="Q106" s="6">
        <v>-818881.64424940501</v>
      </c>
      <c r="R106" s="6">
        <v>-1004991.1088515425</v>
      </c>
    </row>
    <row r="107" spans="5:18">
      <c r="E107" s="48"/>
      <c r="F107" s="44">
        <v>540</v>
      </c>
      <c r="G107" s="6">
        <v>1041615.7035724644</v>
      </c>
      <c r="H107" s="6">
        <v>862026.78916341881</v>
      </c>
      <c r="I107" s="6">
        <v>682437.87475437322</v>
      </c>
      <c r="J107" s="6">
        <v>502848.96034532762</v>
      </c>
      <c r="K107" s="6">
        <v>323260.04593628203</v>
      </c>
      <c r="L107" s="6">
        <v>143671.13152723666</v>
      </c>
      <c r="M107" s="6">
        <v>-35917.782881808933</v>
      </c>
      <c r="N107" s="6">
        <v>-215506.69729085453</v>
      </c>
      <c r="O107" s="6">
        <v>-395095.61169990012</v>
      </c>
      <c r="P107" s="6">
        <v>-574684.52610894572</v>
      </c>
      <c r="Q107" s="6">
        <v>-754273.44051799132</v>
      </c>
      <c r="R107" s="6">
        <v>-933862.35492703691</v>
      </c>
    </row>
    <row r="108" spans="5:18">
      <c r="E108" s="48"/>
      <c r="F108" s="44">
        <v>550</v>
      </c>
      <c r="G108" s="6">
        <v>1040461.6031350964</v>
      </c>
      <c r="H108" s="6">
        <v>867051.33594591368</v>
      </c>
      <c r="I108" s="6">
        <v>693641.06875673099</v>
      </c>
      <c r="J108" s="6">
        <v>520230.80156754819</v>
      </c>
      <c r="K108" s="6">
        <v>346820.53437836538</v>
      </c>
      <c r="L108" s="6">
        <v>173410.26718918281</v>
      </c>
      <c r="M108" s="6">
        <v>0</v>
      </c>
      <c r="N108" s="6">
        <v>-173410.26718918257</v>
      </c>
      <c r="O108" s="6">
        <v>-346820.53437836561</v>
      </c>
      <c r="P108" s="6">
        <v>-520230.80156754795</v>
      </c>
      <c r="Q108" s="6">
        <v>-693641.06875673076</v>
      </c>
      <c r="R108" s="6">
        <v>-867051.33594591357</v>
      </c>
    </row>
    <row r="109" spans="5:18">
      <c r="E109" s="48"/>
      <c r="F109" s="44">
        <v>560</v>
      </c>
      <c r="G109" s="6">
        <v>1038809.1179690239</v>
      </c>
      <c r="H109" s="6">
        <v>871259.26023208455</v>
      </c>
      <c r="I109" s="6">
        <v>703709.4024951451</v>
      </c>
      <c r="J109" s="6">
        <v>536159.544758206</v>
      </c>
      <c r="K109" s="6">
        <v>368609.68702126667</v>
      </c>
      <c r="L109" s="6">
        <v>201059.82928432734</v>
      </c>
      <c r="M109" s="6">
        <v>33509.971547388006</v>
      </c>
      <c r="N109" s="6">
        <v>-134039.88618955133</v>
      </c>
      <c r="O109" s="6">
        <v>-301589.74392649066</v>
      </c>
      <c r="P109" s="6">
        <v>-469139.60166343022</v>
      </c>
      <c r="Q109" s="6">
        <v>-636689.45940036932</v>
      </c>
      <c r="R109" s="6">
        <v>-804239.31713730842</v>
      </c>
    </row>
    <row r="110" spans="5:18">
      <c r="E110" s="48"/>
      <c r="F110" s="44">
        <v>570</v>
      </c>
      <c r="G110" s="6">
        <v>1036710.669808225</v>
      </c>
      <c r="H110" s="6">
        <v>874724.6276506898</v>
      </c>
      <c r="I110" s="6">
        <v>712738.58549315459</v>
      </c>
      <c r="J110" s="6">
        <v>550752.54333561938</v>
      </c>
      <c r="K110" s="6">
        <v>388766.50117808441</v>
      </c>
      <c r="L110" s="6">
        <v>226780.4590205492</v>
      </c>
      <c r="M110" s="6">
        <v>64794.41686301399</v>
      </c>
      <c r="N110" s="6">
        <v>-97191.625294521218</v>
      </c>
      <c r="O110" s="6">
        <v>-259177.66745205619</v>
      </c>
      <c r="P110" s="6">
        <v>-421163.70960959163</v>
      </c>
      <c r="Q110" s="6">
        <v>-583149.75176712661</v>
      </c>
      <c r="R110" s="6">
        <v>-745135.79392466205</v>
      </c>
    </row>
    <row r="111" spans="5:18">
      <c r="E111" s="48"/>
      <c r="F111" s="44">
        <v>580</v>
      </c>
      <c r="G111" s="6">
        <v>1034213.3577876764</v>
      </c>
      <c r="H111" s="6">
        <v>877514.36418348295</v>
      </c>
      <c r="I111" s="6">
        <v>720815.37057928951</v>
      </c>
      <c r="J111" s="6">
        <v>564116.37697509606</v>
      </c>
      <c r="K111" s="6">
        <v>407417.38337090285</v>
      </c>
      <c r="L111" s="6">
        <v>250718.38976670941</v>
      </c>
      <c r="M111" s="6">
        <v>94019.396162515972</v>
      </c>
      <c r="N111" s="6">
        <v>-62679.59744167747</v>
      </c>
      <c r="O111" s="6">
        <v>-219378.59104587091</v>
      </c>
      <c r="P111" s="6">
        <v>-376077.58465006435</v>
      </c>
      <c r="Q111" s="6">
        <v>-532776.57825425779</v>
      </c>
      <c r="R111" s="6">
        <v>-689475.57185845124</v>
      </c>
    </row>
    <row r="112" spans="5:18">
      <c r="E112" s="48"/>
      <c r="F112" s="44">
        <v>590</v>
      </c>
      <c r="G112" s="6">
        <v>1031359.5478624469</v>
      </c>
      <c r="H112" s="6">
        <v>879689.02611796942</v>
      </c>
      <c r="I112" s="6">
        <v>728018.50437349197</v>
      </c>
      <c r="J112" s="6">
        <v>576347.98262901441</v>
      </c>
      <c r="K112" s="6">
        <v>424677.46088453708</v>
      </c>
      <c r="L112" s="6">
        <v>273006.93914005952</v>
      </c>
      <c r="M112" s="6">
        <v>121336.41739558196</v>
      </c>
      <c r="N112" s="6">
        <v>-30334.104348895373</v>
      </c>
      <c r="O112" s="6">
        <v>-182004.62609337294</v>
      </c>
      <c r="P112" s="6">
        <v>-333675.14783785027</v>
      </c>
      <c r="Q112" s="6">
        <v>-485345.66958232783</v>
      </c>
      <c r="R112" s="6">
        <v>-637016.19132680539</v>
      </c>
    </row>
    <row r="113" spans="5:18">
      <c r="E113" s="48"/>
      <c r="F113" s="44">
        <v>600</v>
      </c>
      <c r="G113" s="6">
        <v>1028187.3899667513</v>
      </c>
      <c r="H113" s="6">
        <v>881303.47711435833</v>
      </c>
      <c r="I113" s="6">
        <v>734419.56426196522</v>
      </c>
      <c r="J113" s="6">
        <v>587535.65140957222</v>
      </c>
      <c r="K113" s="6">
        <v>440651.73855717899</v>
      </c>
      <c r="L113" s="6">
        <v>293767.825704786</v>
      </c>
      <c r="M113" s="6">
        <v>146883.912852393</v>
      </c>
      <c r="N113" s="6">
        <v>0</v>
      </c>
      <c r="O113" s="6">
        <v>-146883.91285239323</v>
      </c>
      <c r="P113" s="6">
        <v>-293767.82570478623</v>
      </c>
      <c r="Q113" s="6">
        <v>-440651.73855717923</v>
      </c>
      <c r="R113" s="6">
        <v>-587535.65140957222</v>
      </c>
    </row>
    <row r="114" spans="5:18">
      <c r="E114" s="48"/>
      <c r="F114" s="44">
        <v>800</v>
      </c>
      <c r="G114" s="6">
        <v>933219.50848926988</v>
      </c>
      <c r="H114" s="6">
        <v>848381.37135388167</v>
      </c>
      <c r="I114" s="6">
        <v>763543.23421849345</v>
      </c>
      <c r="J114" s="6">
        <v>678705.09708310536</v>
      </c>
      <c r="K114" s="6">
        <v>593866.95994771714</v>
      </c>
      <c r="L114" s="6">
        <v>509028.82281232905</v>
      </c>
      <c r="M114" s="6">
        <v>424190.68567694083</v>
      </c>
      <c r="N114" s="6">
        <v>339352.54854155262</v>
      </c>
      <c r="O114" s="6">
        <v>254514.41140616452</v>
      </c>
      <c r="P114" s="6">
        <v>169676.27427077619</v>
      </c>
      <c r="Q114" s="6">
        <v>84838.137135388097</v>
      </c>
      <c r="R114" s="6">
        <v>0</v>
      </c>
    </row>
    <row r="115" spans="5:18">
      <c r="E115" s="48"/>
      <c r="F115" s="44">
        <v>900</v>
      </c>
      <c r="G115" s="6">
        <v>880917.95766693447</v>
      </c>
      <c r="H115" s="6">
        <v>813155.03784640098</v>
      </c>
      <c r="I115" s="6">
        <v>745392.11802586762</v>
      </c>
      <c r="J115" s="6">
        <v>677629.19820533413</v>
      </c>
      <c r="K115" s="6">
        <v>609866.27838480077</v>
      </c>
      <c r="L115" s="6">
        <v>542103.35856426728</v>
      </c>
      <c r="M115" s="6">
        <v>474340.43874373392</v>
      </c>
      <c r="N115" s="6">
        <v>406577.51892320043</v>
      </c>
      <c r="O115" s="6">
        <v>338814.59910266707</v>
      </c>
      <c r="P115" s="6">
        <v>271051.6792821337</v>
      </c>
      <c r="Q115" s="6">
        <v>203288.75946160022</v>
      </c>
      <c r="R115" s="6">
        <v>135525.83964106673</v>
      </c>
    </row>
    <row r="116" spans="5:18">
      <c r="E116" s="48"/>
      <c r="F116" s="44">
        <v>1000</v>
      </c>
      <c r="G116" s="6">
        <v>831338.85314930137</v>
      </c>
      <c r="H116" s="6">
        <v>775916.262939348</v>
      </c>
      <c r="I116" s="6">
        <v>720493.67272939463</v>
      </c>
      <c r="J116" s="6">
        <v>665071.08251944114</v>
      </c>
      <c r="K116" s="6">
        <v>609648.49230948766</v>
      </c>
      <c r="L116" s="6">
        <v>554225.90209953429</v>
      </c>
      <c r="M116" s="6">
        <v>498803.3118895808</v>
      </c>
      <c r="N116" s="6">
        <v>443380.72167962743</v>
      </c>
      <c r="O116" s="6">
        <v>387958.13146967394</v>
      </c>
      <c r="P116" s="6">
        <v>332535.54125972057</v>
      </c>
      <c r="Q116" s="6">
        <v>277112.95104976709</v>
      </c>
      <c r="R116" s="6">
        <v>221690.36083981371</v>
      </c>
    </row>
  </sheetData>
  <mergeCells count="5">
    <mergeCell ref="A15:B15"/>
    <mergeCell ref="C15:D15"/>
    <mergeCell ref="E15:F15"/>
    <mergeCell ref="G77:R77"/>
    <mergeCell ref="E79:E116"/>
  </mergeCells>
  <conditionalFormatting sqref="I39:I76">
    <cfRule type="expression" dxfId="4" priority="3">
      <formula>I39=MAX(I$39:I$76)</formula>
    </cfRule>
    <cfRule type="cellIs" dxfId="3" priority="5" operator="equal">
      <formula>$I$65</formula>
    </cfRule>
    <cfRule type="cellIs" dxfId="2" priority="6" operator="equal">
      <formula>593536.3651</formula>
    </cfRule>
    <cfRule type="cellIs" dxfId="1" priority="7" operator="equal">
      <formula>593536.3651</formula>
    </cfRule>
  </conditionalFormatting>
  <conditionalFormatting sqref="G79:R116">
    <cfRule type="expression" dxfId="0" priority="1">
      <formula>G79=MAX(G$79:G$116)</formula>
    </cfRule>
    <cfRule type="expression" priority="2">
      <formula>G79=MAX($G$79:$G$116)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 Ratio</dc:creator>
  <cp:lastModifiedBy>Golden Ratio</cp:lastModifiedBy>
  <dcterms:created xsi:type="dcterms:W3CDTF">2024-04-23T10:55:33Z</dcterms:created>
  <dcterms:modified xsi:type="dcterms:W3CDTF">2024-10-22T02:39:18Z</dcterms:modified>
</cp:coreProperties>
</file>